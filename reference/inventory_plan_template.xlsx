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ointment plan" sheetId="1" state="visible" r:id="rId3"/>
    <sheet name="Stock snapshot" sheetId="2" state="visible" r:id="rId4"/>
    <sheet name="READ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<sst xmlns="http://schemas.openxmlformats.org/spreadsheetml/2006/main" count="496" uniqueCount="259">
  <si>
    <t xml:space="preserve">From:</t>
  </si>
  <si>
    <t xml:space="preserve">&lt;- plan date (app stamps)</t>
  </si>
  <si>
    <t xml:space="preserve">SKU</t>
  </si>
  <si>
    <t xml:space="preserve">Alias / Display name</t>
  </si>
  <si>
    <t xml:space="preserve">ASIN</t>
  </si>
  <si>
    <t xml:space="preserve">ITEM</t>
  </si>
  <si>
    <t xml:space="preserve">Delhi (DL)</t>
  </si>
  <si>
    <t xml:space="preserve">Haryana (HR)</t>
  </si>
  <si>
    <t xml:space="preserve">Bombay (MH)</t>
  </si>
  <si>
    <t xml:space="preserve">Pune (MH)</t>
  </si>
  <si>
    <t xml:space="preserve">Bangalore (KA)</t>
  </si>
  <si>
    <t xml:space="preserve">Hyderabad (TG)</t>
  </si>
  <si>
    <t xml:space="preserve">Chennai (TN)</t>
  </si>
  <si>
    <t xml:space="preserve">Calcutta (WB)</t>
  </si>
  <si>
    <t xml:space="preserve">Lucknow (UP)</t>
  </si>
  <si>
    <t xml:space="preserve">BLR4 IXD</t>
  </si>
  <si>
    <t xml:space="preserve">SellerFlex</t>
  </si>
  <si>
    <t xml:space="preserve">Units Total</t>
  </si>
  <si>
    <t xml:space="preserve">Bottles</t>
  </si>
  <si>
    <t xml:space="preserve">Litres</t>
  </si>
  <si>
    <t xml:space="preserve">Boxes</t>
  </si>
  <si>
    <t xml:space="preserve">Units/Box</t>
  </si>
  <si>
    <t xml:space="preserve">Bottles/Unit</t>
  </si>
  <si>
    <t xml:space="preserve">Litres/Unit</t>
  </si>
  <si>
    <t xml:space="preserve">Kg/Unit</t>
  </si>
  <si>
    <t xml:space="preserve">Oil Type</t>
  </si>
  <si>
    <t xml:space="preserve">Bottle Type</t>
  </si>
  <si>
    <t xml:space="preserve">Appointment Priority:</t>
  </si>
  <si>
    <t xml:space="preserve">app writes Pri-1..Pri-4 into regions; Pune &amp; BLR4 IXD are yours to fill manually</t>
  </si>
  <si>
    <t xml:space="preserve">PRODUCT</t>
  </si>
  <si>
    <t xml:space="preserve">Nos</t>
  </si>
  <si>
    <t xml:space="preserve">CP-10L-Gr</t>
  </si>
  <si>
    <t xml:space="preserve">5+5 Combo - CP-10L-Gr</t>
  </si>
  <si>
    <t xml:space="preserve">B0BG8Y5Z5P</t>
  </si>
  <si>
    <t xml:space="preserve">Puvi Groundnut 10L PET (5L x2)</t>
  </si>
  <si>
    <t xml:space="preserve">Groundnut</t>
  </si>
  <si>
    <t xml:space="preserve">5L PET</t>
  </si>
  <si>
    <t xml:space="preserve">CP-10L-HD-Gr</t>
  </si>
  <si>
    <t xml:space="preserve">5+5 Combo - CP-10L-HD-Gr</t>
  </si>
  <si>
    <t xml:space="preserve">B0BG8X15KM</t>
  </si>
  <si>
    <t xml:space="preserve">Puvi Groundnut 10L HDPE (5L x2)</t>
  </si>
  <si>
    <t xml:space="preserve">5L HDPE</t>
  </si>
  <si>
    <t xml:space="preserve">MO-3KWM-028W</t>
  </si>
  <si>
    <t xml:space="preserve">B07HL6VMBS</t>
  </si>
  <si>
    <t xml:space="preserve">Puvi Groundnut oil 5 lit</t>
  </si>
  <si>
    <t xml:space="preserve">gr-5-temp</t>
  </si>
  <si>
    <t xml:space="preserve">Puvi Groundnut oil 5 lit (Temp)</t>
  </si>
  <si>
    <t xml:space="preserve">PC-650H-3L4S</t>
  </si>
  <si>
    <t xml:space="preserve">B089FHB9R4</t>
  </si>
  <si>
    <t xml:space="preserve">Puvi HDPE Groundnut oil 5 lit</t>
  </si>
  <si>
    <t xml:space="preserve">Gr-HDP-5-Temp</t>
  </si>
  <si>
    <t xml:space="preserve">Puvi HDPE Groundnut oil 5 lit (Temp)</t>
  </si>
  <si>
    <t xml:space="preserve">CP-Gro-Pck2</t>
  </si>
  <si>
    <t xml:space="preserve">B07K8HSRLZ</t>
  </si>
  <si>
    <t xml:space="preserve">Puvi Groundnut 1+1 pack</t>
  </si>
  <si>
    <t xml:space="preserve">1L PET</t>
  </si>
  <si>
    <t xml:space="preserve">tem-Gro-Pck2</t>
  </si>
  <si>
    <t xml:space="preserve">Puvi Groundnut 1+1 pack (Temp)</t>
  </si>
  <si>
    <t xml:space="preserve">Combo-Gro-Ses-1tr</t>
  </si>
  <si>
    <t xml:space="preserve">B07MFH4BHR</t>
  </si>
  <si>
    <t xml:space="preserve">Puvi Groundnut 1 + Sesame 1 pack</t>
  </si>
  <si>
    <t xml:space="preserve">Combo (Gro+Ses)</t>
  </si>
  <si>
    <t xml:space="preserve">34-L3LO-93VA</t>
  </si>
  <si>
    <t xml:space="preserve">B0753HZDMZ</t>
  </si>
  <si>
    <t xml:space="preserve">Puvi Groundnut oil 1 lit</t>
  </si>
  <si>
    <t xml:space="preserve">8I-YSR4-V7IX</t>
  </si>
  <si>
    <t xml:space="preserve">B07JJ8RF7R</t>
  </si>
  <si>
    <t xml:space="preserve">Puvi Sesame oil 5 lit</t>
  </si>
  <si>
    <t xml:space="preserve">Sesame</t>
  </si>
  <si>
    <t xml:space="preserve">Ses-5lt-tem</t>
  </si>
  <si>
    <t xml:space="preserve">Puvi Sesame oil 5 lit (Temp)</t>
  </si>
  <si>
    <t xml:space="preserve">CP-Gin-Pck2</t>
  </si>
  <si>
    <t xml:space="preserve">B07K8FYDTY</t>
  </si>
  <si>
    <t xml:space="preserve">Puvi Sesame 1+1 pack</t>
  </si>
  <si>
    <t xml:space="preserve">tem-Gin-Pck2</t>
  </si>
  <si>
    <t xml:space="preserve">Puvi Sesame 1+1 pack (Temp)</t>
  </si>
  <si>
    <t xml:space="preserve">A0-YQOL-NMUV</t>
  </si>
  <si>
    <t xml:space="preserve">B0753F3BL1</t>
  </si>
  <si>
    <t xml:space="preserve">Puvi Sesame oil 1 lit</t>
  </si>
  <si>
    <t xml:space="preserve">ses-gl-1ltr</t>
  </si>
  <si>
    <t xml:space="preserve">B08Y9524H3</t>
  </si>
  <si>
    <t xml:space="preserve">Puvi Sesame oil 1 lit Glass Bottle</t>
  </si>
  <si>
    <t xml:space="preserve">1L GLASS</t>
  </si>
  <si>
    <t xml:space="preserve">ses-500</t>
  </si>
  <si>
    <t xml:space="preserve">B07XLDW5XL</t>
  </si>
  <si>
    <t xml:space="preserve">Puvi Sesame oil 500 ML</t>
  </si>
  <si>
    <t xml:space="preserve">500ML</t>
  </si>
  <si>
    <t xml:space="preserve">coco_5ltr</t>
  </si>
  <si>
    <t xml:space="preserve">B08B1WGQ7N</t>
  </si>
  <si>
    <t xml:space="preserve">Puvi HDPE Copra Coconut Oil 5 lit</t>
  </si>
  <si>
    <t xml:space="preserve">Coconut</t>
  </si>
  <si>
    <t xml:space="preserve">Puvi-coco-1000-pck2</t>
  </si>
  <si>
    <t xml:space="preserve">B0829D83X6</t>
  </si>
  <si>
    <t xml:space="preserve">Puvi Coconut 1+1 pack</t>
  </si>
  <si>
    <t xml:space="preserve">Puvi-coco-1000</t>
  </si>
  <si>
    <t xml:space="preserve">B07RPLVT5M</t>
  </si>
  <si>
    <t xml:space="preserve">Puvi Copra Coconut Oil 1 lit</t>
  </si>
  <si>
    <t xml:space="preserve">Puvi500mlCoconutOil</t>
  </si>
  <si>
    <t xml:space="preserve">B07BF72F34</t>
  </si>
  <si>
    <t xml:space="preserve">Puvi Copra Coconut Oil 500 ml</t>
  </si>
  <si>
    <t xml:space="preserve">vco-5ltr</t>
  </si>
  <si>
    <t xml:space="preserve">B09PVPL5NB</t>
  </si>
  <si>
    <t xml:space="preserve">Puvi HDPE Virgin Coconut Oil 5 lit</t>
  </si>
  <si>
    <t xml:space="preserve">VCO</t>
  </si>
  <si>
    <t xml:space="preserve">vco-1000-pck2</t>
  </si>
  <si>
    <t xml:space="preserve">B0829D3TGB</t>
  </si>
  <si>
    <t xml:space="preserve">Puvi VCO 1+1 pack</t>
  </si>
  <si>
    <t xml:space="preserve">vco-1000</t>
  </si>
  <si>
    <t xml:space="preserve">B07Y6KG593</t>
  </si>
  <si>
    <t xml:space="preserve">Puvi Virgin Coconut Oil 1 lit</t>
  </si>
  <si>
    <t xml:space="preserve">vco-500</t>
  </si>
  <si>
    <t xml:space="preserve">B07XLFMBVL</t>
  </si>
  <si>
    <t xml:space="preserve">Puvi Virgin Coconut Oil 500 ml</t>
  </si>
  <si>
    <t xml:space="preserve">deep_5ltr</t>
  </si>
  <si>
    <t xml:space="preserve">B09J6DVR12</t>
  </si>
  <si>
    <t xml:space="preserve">Puvi Deepam HDPE oil 5 lit</t>
  </si>
  <si>
    <t xml:space="preserve">Deepam</t>
  </si>
  <si>
    <t xml:space="preserve">deep_1lt</t>
  </si>
  <si>
    <t xml:space="preserve">B09J66ZVCF</t>
  </si>
  <si>
    <t xml:space="preserve">Puvi Deepam oil 1 lit</t>
  </si>
  <si>
    <t xml:space="preserve">Mustard-5lt</t>
  </si>
  <si>
    <t xml:space="preserve">B09J7F8SLF</t>
  </si>
  <si>
    <t xml:space="preserve">Puvi HDPE Mustard oil 5 lit</t>
  </si>
  <si>
    <t xml:space="preserve">Mustard</t>
  </si>
  <si>
    <t xml:space="preserve">Must-1lt-pack2</t>
  </si>
  <si>
    <t xml:space="preserve">B09JM5RQRK</t>
  </si>
  <si>
    <t xml:space="preserve">Puvi Mustard 1+1 pack</t>
  </si>
  <si>
    <t xml:space="preserve">Puvi-Must-1lt</t>
  </si>
  <si>
    <t xml:space="preserve">B09JM6D1KN</t>
  </si>
  <si>
    <t xml:space="preserve">Puvi Mustard oil 1 lit</t>
  </si>
  <si>
    <t xml:space="preserve">TOTAL WEIGHT (KGS)</t>
  </si>
  <si>
    <t xml:space="preserve">LITRES BY OIL TYPE</t>
  </si>
  <si>
    <t xml:space="preserve">Groundnut total litres</t>
  </si>
  <si>
    <t xml:space="preserve">Sesame total litres</t>
  </si>
  <si>
    <t xml:space="preserve">Coconut total litres</t>
  </si>
  <si>
    <t xml:space="preserve">VCO total litres</t>
  </si>
  <si>
    <t xml:space="preserve">Mustard total litres</t>
  </si>
  <si>
    <t xml:space="preserve">Deepam total litres</t>
  </si>
  <si>
    <t xml:space="preserve">PACKING MATERIAL CALCULATIONS (bottles needed)</t>
  </si>
  <si>
    <t xml:space="preserve">1 Lit PET Bottles</t>
  </si>
  <si>
    <t xml:space="preserve">Groundnut oil 1 Lit (incl. 1+1 &amp; combo)</t>
  </si>
  <si>
    <t xml:space="preserve">Sesame oil 1 lit (incl. 1+1 &amp; combo)</t>
  </si>
  <si>
    <t xml:space="preserve">Copra coconut oil 1 lit</t>
  </si>
  <si>
    <t xml:space="preserve">Virgin Coconut oil 1 lit</t>
  </si>
  <si>
    <t xml:space="preserve">Mustard oil 1 lit (incl. 1+1)</t>
  </si>
  <si>
    <t xml:space="preserve">Deepam oil 1 lit</t>
  </si>
  <si>
    <t xml:space="preserve">TOTAL</t>
  </si>
  <si>
    <t xml:space="preserve">1 Lit GLASS Bottles</t>
  </si>
  <si>
    <t xml:space="preserve">Sesame oil 1 lit Glass</t>
  </si>
  <si>
    <t xml:space="preserve">5 Lit PET Bottles</t>
  </si>
  <si>
    <t xml:space="preserve">Groundnut 5 lit (incl. 10L combos)</t>
  </si>
  <si>
    <t xml:space="preserve">Sesame 5 lit</t>
  </si>
  <si>
    <t xml:space="preserve">500 ML Bottles</t>
  </si>
  <si>
    <t xml:space="preserve">Copra Coconut</t>
  </si>
  <si>
    <t xml:space="preserve">5 Lit HDPE Bottles</t>
  </si>
  <si>
    <t xml:space="preserve">Groundnut (incl. 10L HDPE combo)</t>
  </si>
  <si>
    <t xml:space="preserve">GRAND TOTAL BOTTLES</t>
  </si>
  <si>
    <t xml:space="preserve">STOCK SNAPSHOT — the app copies your uploaded stock workbook's Overall stock (values) here at plan generation, so you can compare closing stock while filling the plan. Do not type here.</t>
  </si>
  <si>
    <t xml:space="preserve">Row Labels</t>
  </si>
  <si>
    <t xml:space="preserve">YSXA</t>
  </si>
  <si>
    <t xml:space="preserve">Grand Total</t>
  </si>
  <si>
    <t xml:space="preserve">Regional (excl. IXD &amp; YSXA)</t>
  </si>
  <si>
    <t xml:space="preserve">Current stock (as-on-date)</t>
  </si>
  <si>
    <t xml:space="preserve">In transit - Puvi Groundnut 10L PET (5L x2)</t>
  </si>
  <si>
    <t xml:space="preserve">At the FC - Puvi Groundnut 10L PET (5L x2)</t>
  </si>
  <si>
    <t xml:space="preserve">In transit - Puvi Groundnut 10L HDPE (5L x2)</t>
  </si>
  <si>
    <t xml:space="preserve">At the FC - Puvi Groundnut 10L HDPE (5L x2)</t>
  </si>
  <si>
    <t xml:space="preserve">In transit - Puvi Groundnut oil 5 lit</t>
  </si>
  <si>
    <t xml:space="preserve">At the FC - Puvi Groundnut oil 5 lit</t>
  </si>
  <si>
    <t xml:space="preserve">In transit - Puvi Groundnut oil 5 lit (Temp)</t>
  </si>
  <si>
    <t xml:space="preserve">At the FC - Puvi Groundnut oil 5 lit (Temp)</t>
  </si>
  <si>
    <t xml:space="preserve">In transit - Puvi HDPE Groundnut oil 5 lit</t>
  </si>
  <si>
    <t xml:space="preserve">At the FC - Puvi HDPE Groundnut oil 5 lit</t>
  </si>
  <si>
    <t xml:space="preserve">In transit - Puvi HDPE Groundnut oil 5 lit (Temp)</t>
  </si>
  <si>
    <t xml:space="preserve">At the FC - Puvi HDPE Groundnut oil 5 lit (Temp)</t>
  </si>
  <si>
    <t xml:space="preserve">In transit - Puvi Groundnut 1+1 pack</t>
  </si>
  <si>
    <t xml:space="preserve">At the FC - Puvi Groundnut 1+1 pack</t>
  </si>
  <si>
    <t xml:space="preserve">In transit - Puvi Groundnut 1+1 pack (Temp)</t>
  </si>
  <si>
    <t xml:space="preserve">At the FC - Puvi Groundnut 1+1 pack (Temp)</t>
  </si>
  <si>
    <t xml:space="preserve">In transit - Puvi Groundnut 1 + Sesame 1 pack</t>
  </si>
  <si>
    <t xml:space="preserve">At the FC - Puvi Groundnut 1 + Sesame 1 pack</t>
  </si>
  <si>
    <t xml:space="preserve">In transit - Puvi Groundnut oil 1 lit</t>
  </si>
  <si>
    <t xml:space="preserve">At the FC - Puvi Groundnut oil 1 lit</t>
  </si>
  <si>
    <t xml:space="preserve">In transit - Puvi Sesame oil 5 lit</t>
  </si>
  <si>
    <t xml:space="preserve">At the FC - Puvi Sesame oil 5 lit</t>
  </si>
  <si>
    <t xml:space="preserve">In transit - Puvi Sesame oil 5 lit (Temp)</t>
  </si>
  <si>
    <t xml:space="preserve">At the FC - Puvi Sesame oil 5 lit (Temp)</t>
  </si>
  <si>
    <t xml:space="preserve">In transit - Puvi Sesame 1+1 pack</t>
  </si>
  <si>
    <t xml:space="preserve">At the FC - Puvi Sesame 1+1 pack</t>
  </si>
  <si>
    <t xml:space="preserve">In transit - Puvi Sesame 1+1 pack (Temp)</t>
  </si>
  <si>
    <t xml:space="preserve">At the FC - Puvi Sesame 1+1 pack (Temp)</t>
  </si>
  <si>
    <t xml:space="preserve">In transit - Puvi Sesame oil 1 lit</t>
  </si>
  <si>
    <t xml:space="preserve">At the FC - Puvi Sesame oil 1 lit</t>
  </si>
  <si>
    <t xml:space="preserve">In transit - Puvi Sesame oil 1 lit Glass Bottle</t>
  </si>
  <si>
    <t xml:space="preserve">At the FC - Puvi Sesame oil 1 lit Glass Bottle</t>
  </si>
  <si>
    <t xml:space="preserve">In transit - Puvi Sesame oil 500 ML</t>
  </si>
  <si>
    <t xml:space="preserve">At the FC - Puvi Sesame oil 500 ML</t>
  </si>
  <si>
    <t xml:space="preserve">In transit - Puvi HDPE Copra Coconut Oil 5 lit</t>
  </si>
  <si>
    <t xml:space="preserve">At the FC - Puvi HDPE Copra Coconut Oil 5 lit</t>
  </si>
  <si>
    <t xml:space="preserve">In transit - Puvi Coconut 1+1 pack</t>
  </si>
  <si>
    <t xml:space="preserve">At the FC - Puvi Coconut 1+1 pack</t>
  </si>
  <si>
    <t xml:space="preserve">In transit - Puvi Copra Coconut Oil 1 lit</t>
  </si>
  <si>
    <t xml:space="preserve">At the FC - Puvi Copra Coconut Oil 1 lit</t>
  </si>
  <si>
    <t xml:space="preserve">In transit - Puvi Copra Coconut Oil 500 ml</t>
  </si>
  <si>
    <t xml:space="preserve">At the FC - Puvi Copra Coconut Oil 500 ml</t>
  </si>
  <si>
    <t xml:space="preserve">In transit - Puvi HDPE Virgin Coconut Oil 5 lit</t>
  </si>
  <si>
    <t xml:space="preserve">At the FC - Puvi HDPE Virgin Coconut Oil 5 lit</t>
  </si>
  <si>
    <t xml:space="preserve">In transit - Puvi VCO 1+1 pack</t>
  </si>
  <si>
    <t xml:space="preserve">At the FC - Puvi VCO 1+1 pack</t>
  </si>
  <si>
    <t xml:space="preserve">In transit - Puvi Virgin Coconut Oil 1 lit</t>
  </si>
  <si>
    <t xml:space="preserve">At the FC - Puvi Virgin Coconut Oil 1 lit</t>
  </si>
  <si>
    <t xml:space="preserve">In transit - Puvi Virgin Coconut Oil 500 ml</t>
  </si>
  <si>
    <t xml:space="preserve">At the FC - Puvi Virgin Coconut Oil 500 ml</t>
  </si>
  <si>
    <t xml:space="preserve">In transit - Puvi Deepam HDPE oil 5 lit</t>
  </si>
  <si>
    <t xml:space="preserve">At the FC - Puvi Deepam HDPE oil 5 lit</t>
  </si>
  <si>
    <t xml:space="preserve">In transit - Puvi Deepam oil 1 lit</t>
  </si>
  <si>
    <t xml:space="preserve">At the FC - Puvi Deepam oil 1 lit</t>
  </si>
  <si>
    <t xml:space="preserve">In transit - Puvi HDPE Mustard oil 5 lit</t>
  </si>
  <si>
    <t xml:space="preserve">At the FC - Puvi HDPE Mustard oil 5 lit</t>
  </si>
  <si>
    <t xml:space="preserve">In transit - Puvi Mustard 1+1 pack</t>
  </si>
  <si>
    <t xml:space="preserve">At the FC - Puvi Mustard 1+1 pack</t>
  </si>
  <si>
    <t xml:space="preserve">In transit - Puvi Mustard oil 1 lit</t>
  </si>
  <si>
    <t xml:space="preserve">At the FC - Puvi Mustard oil 1 lit</t>
  </si>
  <si>
    <t xml:space="preserve">MASTER TEMPLATE &amp; SKU SINGLE SOURCE OF TRUTH — READ ME</t>
  </si>
  <si>
    <t xml:space="preserve">One file, two roles: (1) the SKU MASTER the app validates every input against; (2) the OUTPUT</t>
  </si>
  <si>
    <t xml:space="preserve">TEMPLATE the app fills to produce your Appointment Plan. Lives in GitHub; changing it = edit + commit</t>
  </si>
  <si>
    <t xml:space="preserve">(replace in place, SAME filename). The app loads it at startup and refuses to run if checks fail.</t>
  </si>
  <si>
    <t xml:space="preserve">COLUMNS</t>
  </si>
  <si>
    <t xml:space="preserve">A SKU — canonical code EXACTLY as in Amazon reports (matching key; never a display name).</t>
  </si>
  <si>
    <t xml:space="preserve">B Alias — what humans read.   C ASIN — product identity; SAME ASIN on two rows = same product</t>
  </si>
  <si>
    <t xml:space="preserve">(Temp SKUs, tinted orange).   D ITEM — short description.</t>
  </si>
  <si>
    <t xml:space="preserve">E–M Destination regions, named Capital (STATE-CODE). The app fills these with box-rounded plan</t>
  </si>
  <si>
    <t xml:space="preserve">quantities. Pune (MH) is tinted blue: the app puts the FULL MH forecast into Bombay (MH); YOU</t>
  </si>
  <si>
    <t xml:space="preserve">move some to Pune by judgment — the app never fills Pune.</t>
  </si>
  <si>
    <t xml:space="preserve">N SellerFlex — manual only; app never touches it. Totals include it so packing math stays right.</t>
  </si>
  <si>
    <t xml:space="preserve">O–R Computed: Units Total, Bottles, Litres, Boxes (fractional = deliberate partial carton).</t>
  </si>
  <si>
    <t xml:space="preserve">S–X MASTER DATA you maintain (blue): Units/Box (TRUE carton size — record 25 for ses-500 even</t>
  </si>
  <si>
    <t xml:space="preserve">though slow-mover shipments go at 15), Bottles/Unit, Litres/Unit, Kg/Unit, Oil Type, Bottle Type.</t>
  </si>
  <si>
    <t xml:space="preserve">Yellow Kg/Unit cells (500ml, glass) are estimates — weigh a carton and correct.</t>
  </si>
  <si>
    <t xml:space="preserve">NEW / RETIRED SKUs  (the strict gate)</t>
  </si>
  <si>
    <t xml:space="preserve">Any SKU in your Amazon files that is NOT in this sheet HALTS the app — no partial plan, no silent</t>
  </si>
  <si>
    <t xml:space="preserve">drop. The app names the missing SKU(s) and gives you a one-row slice (same columns) to fill; paste</t>
  </si>
  <si>
    <t xml:space="preserve">it here as a new row INSIDE the block (insert between rows 5-34 so formulas auto-extend), copy</t>
  </si>
  <si>
    <t xml:space="preserve">O–R formulas from the row above, commit. Temp SKU = same steps with the SAME ASIN as its base.</t>
  </si>
  <si>
    <t xml:space="preserve">Retire = delete the whole row (never leave a blank row inside the block).</t>
  </si>
  <si>
    <t xml:space="preserve">RULES</t>
  </si>
  <si>
    <t xml:space="preserve">Don't rename the sheet or row-2 headers; don't merge cells in the SKU block; column A holds only</t>
  </si>
  <si>
    <t xml:space="preserve">real Amazon SKUs. Everything else (aliases, items, master values, notes below) is yours to edit.</t>
  </si>
  <si>
    <t xml:space="preserve">BLR4 IXD COLUMN (amber) &amp; PUNE (blue) — BOTH MANUAL</t>
  </si>
  <si>
    <t xml:space="preserve">The app fills only the regional columns. To route stock via the IXD, YOU reduce regional quantities</t>
  </si>
  <si>
    <t xml:space="preserve">proportionately and enter them under BLR4 IXD yourself; same for splitting Bombay -&gt; Pune. Both</t>
  </si>
  <si>
    <t xml:space="preserve">columns count in Units Total / Boxes / Weight (those cartons ship and get packed).</t>
  </si>
  <si>
    <t xml:space="preserve">STOCK SNAPSHOT TAB</t>
  </si>
  <si>
    <t xml:space="preserve">At plan generation the app copies the Overall stock report (values) from the stock workbook you</t>
  </si>
  <si>
    <t xml:space="preserve">uploaded into the 'Stock snapshot' tab — compare closing stock while filling, without switching files.</t>
  </si>
  <si>
    <t xml:space="preserve">SKU ORDER (uniform everywhere)</t>
  </si>
  <si>
    <t xml:space="preserve">Rows follow one canonical order across ALL tabs and files: oil groups by 3-month sales (Groundnut,</t>
  </si>
  <si>
    <t xml:space="preserve">Sesame, Coconut, VCO, Deepam, Mustard), sizes descending within each (10L-&gt;5L PET-&gt;5L HDPE-&gt;2L-&gt;1L-&gt;</t>
  </si>
  <si>
    <t xml:space="preserve">500ml), Temp SKUs glued right after their base (same ASIN together). Copy-paste across tabs stays aligned.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</si>
</sst>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"/>
    <numFmt numFmtId="166" formatCode="#,##0"/>
    <numFmt numFmtId="167" formatCode="#,##0.0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.5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F8F00"/>
        <bgColor rgb="FF808000"/>
      </patternFill>
    </fill>
    <fill>
      <patternFill patternType="solid">
        <fgColor rgb="FFF2F2F2"/>
        <bgColor rgb="FFF4F4F4"/>
      </patternFill>
    </fill>
    <fill>
      <patternFill patternType="solid">
        <fgColor rgb="FFDDEBF7"/>
        <bgColor rgb="FFE9E9E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9D9D9"/>
      </patternFill>
    </fill>
    <fill>
      <patternFill patternType="solid">
        <fgColor rgb="FFEDF4FB"/>
        <bgColor rgb="FFF2F2F2"/>
      </patternFill>
    </fill>
    <fill>
      <patternFill patternType="solid">
        <fgColor rgb="FFD9D9D9"/>
        <bgColor rgb="FFC9C9C9"/>
      </patternFill>
    </fill>
    <fill>
      <patternFill patternType="solid">
        <fgColor rgb="FFE9E9E9"/>
        <bgColor rgb="FFDDEBF7"/>
      </patternFill>
    </fill>
    <fill>
      <patternFill patternType="solid">
        <fgColor rgb="FFF4F4F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B"/>
      <rgbColor rgb="FFE9E9E9"/>
      <rgbColor rgb="FFF4F4F4"/>
      <rgbColor rgb="FFD9D9D9"/>
      <rgbColor rgb="FFF2F2F2"/>
      <rgbColor rgb="FFCC99FF"/>
      <rgbColor rgb="FFFCE4D6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34"/>
    <col collapsed="false" customWidth="true" hidden="false" outlineLevel="0" max="13" min="5" style="0" width="12"/>
    <col collapsed="false" customWidth="true" hidden="false" outlineLevel="0" max="16" min="15" style="0" width="11"/>
    <col collapsed="false" customWidth="true" hidden="false" outlineLevel="0" max="18" min="17" style="0" width="10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9"/>
    <col collapsed="false" customWidth="true" hidden="false" outlineLevel="0" max="24" min="24" style="0" width="15"/>
    <col collapsed="false" customWidth="true" hidden="false" outlineLevel="0" max="25" min="25" style="0" width="11"/>
  </cols>
  <sheetData>
    <row r="1" customFormat="false" ht="15" hidden="false" customHeight="false" outlineLevel="0" collapsed="false">
      <c r="D1" s="1" t="s">
        <v>0</v>
      </c>
      <c r="E1" s="2"/>
      <c r="F1" s="3" t="s">
        <v>1</v>
      </c>
    </row>
    <row r="2" customFormat="false" ht="27.75" hidden="false" customHeight="tru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6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</row>
    <row r="3" customFormat="false" ht="15" hidden="false" customHeight="false" outlineLevel="0" collapsed="false">
      <c r="D3" s="1" t="s">
        <v>27</v>
      </c>
      <c r="E3" s="7"/>
      <c r="F3" s="7"/>
      <c r="G3" s="7"/>
      <c r="H3" s="7"/>
      <c r="I3" s="7"/>
      <c r="J3" s="7"/>
      <c r="K3" s="7"/>
      <c r="L3" s="7"/>
      <c r="M3" s="7"/>
      <c r="Z3" s="3" t="s">
        <v>28</v>
      </c>
    </row>
    <row r="4" customFormat="false" ht="15" hidden="false" customHeight="false" outlineLevel="0" collapsed="false">
      <c r="D4" s="1" t="s">
        <v>29</v>
      </c>
      <c r="E4" s="8" t="s">
        <v>30</v>
      </c>
      <c r="F4" s="8" t="s">
        <v>30</v>
      </c>
      <c r="G4" s="8" t="s">
        <v>30</v>
      </c>
      <c r="H4" s="8" t="s">
        <v>30</v>
      </c>
      <c r="I4" s="8" t="s">
        <v>30</v>
      </c>
      <c r="J4" s="8" t="s">
        <v>30</v>
      </c>
      <c r="K4" s="8" t="s">
        <v>30</v>
      </c>
      <c r="L4" s="8" t="s">
        <v>30</v>
      </c>
      <c r="M4" s="8" t="s">
        <v>30</v>
      </c>
      <c r="N4" s="8" t="s">
        <v>30</v>
      </c>
      <c r="O4" s="8" t="s">
        <v>30</v>
      </c>
    </row>
    <row r="5" customFormat="false" ht="15" hidden="false" customHeight="false" outlineLevel="0" collapsed="false">
      <c r="A5" s="9" t="s">
        <v>31</v>
      </c>
      <c r="B5" s="10" t="s">
        <v>32</v>
      </c>
      <c r="C5" s="10" t="s">
        <v>33</v>
      </c>
      <c r="D5" s="10" t="s">
        <v>34</v>
      </c>
      <c r="E5" s="11"/>
      <c r="F5" s="11"/>
      <c r="G5" s="11"/>
      <c r="H5" s="12"/>
      <c r="I5" s="11"/>
      <c r="J5" s="11"/>
      <c r="K5" s="11"/>
      <c r="L5" s="11"/>
      <c r="M5" s="11"/>
      <c r="N5" s="13"/>
      <c r="O5" s="11"/>
      <c r="P5" s="14" t="n">
        <f aca="false">SUM(E5:O5)</f>
        <v>0</v>
      </c>
      <c r="Q5" s="14" t="n">
        <f aca="false">P5*U5</f>
        <v>0</v>
      </c>
      <c r="R5" s="15" t="n">
        <f aca="false">P5*V5</f>
        <v>0</v>
      </c>
      <c r="S5" s="16" t="n">
        <f aca="false">IF(T5&gt;0,P5/T5,"")</f>
        <v>0</v>
      </c>
      <c r="T5" s="17" t="n">
        <v>1</v>
      </c>
      <c r="U5" s="17" t="n">
        <v>2</v>
      </c>
      <c r="V5" s="17" t="n">
        <v>10</v>
      </c>
      <c r="W5" s="17" t="n">
        <v>9.5</v>
      </c>
      <c r="X5" s="10" t="s">
        <v>35</v>
      </c>
      <c r="Y5" s="10" t="s">
        <v>36</v>
      </c>
    </row>
    <row r="6" customFormat="false" ht="15" hidden="false" customHeight="false" outlineLevel="0" collapsed="false">
      <c r="A6" s="9" t="s">
        <v>37</v>
      </c>
      <c r="B6" s="10" t="s">
        <v>38</v>
      </c>
      <c r="C6" s="10" t="s">
        <v>39</v>
      </c>
      <c r="D6" s="10" t="s">
        <v>40</v>
      </c>
      <c r="E6" s="11"/>
      <c r="F6" s="11"/>
      <c r="G6" s="11"/>
      <c r="H6" s="12"/>
      <c r="I6" s="11"/>
      <c r="J6" s="11"/>
      <c r="K6" s="11"/>
      <c r="L6" s="11"/>
      <c r="M6" s="11"/>
      <c r="N6" s="13"/>
      <c r="O6" s="11"/>
      <c r="P6" s="14" t="n">
        <f aca="false">SUM(E6:O6)</f>
        <v>0</v>
      </c>
      <c r="Q6" s="14" t="n">
        <f aca="false">P6*U6</f>
        <v>0</v>
      </c>
      <c r="R6" s="15" t="n">
        <f aca="false">P6*V6</f>
        <v>0</v>
      </c>
      <c r="S6" s="16" t="n">
        <f aca="false">IF(T6&gt;0,P6/T6,"")</f>
        <v>0</v>
      </c>
      <c r="T6" s="17" t="n">
        <v>1</v>
      </c>
      <c r="U6" s="17" t="n">
        <v>2</v>
      </c>
      <c r="V6" s="17" t="n">
        <v>10</v>
      </c>
      <c r="W6" s="17" t="n">
        <v>9.5</v>
      </c>
      <c r="X6" s="10" t="s">
        <v>35</v>
      </c>
      <c r="Y6" s="10" t="s">
        <v>41</v>
      </c>
    </row>
    <row r="7" customFormat="false" ht="15" hidden="false" customHeight="false" outlineLevel="0" collapsed="false">
      <c r="A7" s="9" t="s">
        <v>42</v>
      </c>
      <c r="B7" s="10" t="s">
        <v>42</v>
      </c>
      <c r="C7" s="10" t="s">
        <v>43</v>
      </c>
      <c r="D7" s="10" t="s">
        <v>44</v>
      </c>
      <c r="E7" s="11"/>
      <c r="F7" s="11"/>
      <c r="G7" s="11"/>
      <c r="H7" s="12"/>
      <c r="I7" s="11"/>
      <c r="J7" s="11"/>
      <c r="K7" s="11"/>
      <c r="L7" s="11"/>
      <c r="M7" s="11"/>
      <c r="N7" s="13"/>
      <c r="O7" s="11"/>
      <c r="P7" s="14" t="n">
        <f aca="false">SUM(E7:O7)</f>
        <v>0</v>
      </c>
      <c r="Q7" s="14" t="n">
        <f aca="false">P7*U7</f>
        <v>0</v>
      </c>
      <c r="R7" s="15" t="n">
        <f aca="false">P7*V7</f>
        <v>0</v>
      </c>
      <c r="S7" s="16" t="n">
        <f aca="false">IF(T7&gt;0,P7/T7,"")</f>
        <v>0</v>
      </c>
      <c r="T7" s="17" t="n">
        <v>3</v>
      </c>
      <c r="U7" s="17" t="n">
        <v>1</v>
      </c>
      <c r="V7" s="17" t="n">
        <v>5</v>
      </c>
      <c r="W7" s="17" t="n">
        <v>4.8</v>
      </c>
      <c r="X7" s="10" t="s">
        <v>35</v>
      </c>
      <c r="Y7" s="10" t="s">
        <v>36</v>
      </c>
    </row>
    <row r="8" customFormat="false" ht="15" hidden="false" customHeight="false" outlineLevel="0" collapsed="false">
      <c r="A8" s="18" t="s">
        <v>45</v>
      </c>
      <c r="B8" s="19" t="s">
        <v>45</v>
      </c>
      <c r="C8" s="19" t="s">
        <v>43</v>
      </c>
      <c r="D8" s="19" t="s">
        <v>46</v>
      </c>
      <c r="E8" s="11"/>
      <c r="F8" s="11"/>
      <c r="G8" s="11"/>
      <c r="H8" s="12"/>
      <c r="I8" s="11"/>
      <c r="J8" s="11"/>
      <c r="K8" s="11"/>
      <c r="L8" s="11"/>
      <c r="M8" s="11"/>
      <c r="N8" s="13"/>
      <c r="O8" s="11"/>
      <c r="P8" s="14" t="n">
        <f aca="false">SUM(E8:O8)</f>
        <v>0</v>
      </c>
      <c r="Q8" s="14" t="n">
        <f aca="false">P8*U8</f>
        <v>0</v>
      </c>
      <c r="R8" s="15" t="n">
        <f aca="false">P8*V8</f>
        <v>0</v>
      </c>
      <c r="S8" s="16" t="n">
        <f aca="false">IF(T8&gt;0,P8/T8,"")</f>
        <v>0</v>
      </c>
      <c r="T8" s="17" t="n">
        <v>3</v>
      </c>
      <c r="U8" s="17" t="n">
        <v>1</v>
      </c>
      <c r="V8" s="17" t="n">
        <v>5</v>
      </c>
      <c r="W8" s="17" t="n">
        <v>4.8</v>
      </c>
      <c r="X8" s="10" t="s">
        <v>35</v>
      </c>
      <c r="Y8" s="10" t="s">
        <v>36</v>
      </c>
    </row>
    <row r="9" customFormat="false" ht="15" hidden="false" customHeight="false" outlineLevel="0" collapsed="false">
      <c r="A9" s="9" t="s">
        <v>47</v>
      </c>
      <c r="B9" s="10" t="s">
        <v>47</v>
      </c>
      <c r="C9" s="10" t="s">
        <v>48</v>
      </c>
      <c r="D9" s="10" t="s">
        <v>49</v>
      </c>
      <c r="E9" s="11"/>
      <c r="F9" s="11"/>
      <c r="G9" s="11"/>
      <c r="H9" s="12"/>
      <c r="I9" s="11"/>
      <c r="J9" s="11"/>
      <c r="K9" s="11"/>
      <c r="L9" s="11"/>
      <c r="M9" s="11"/>
      <c r="N9" s="13"/>
      <c r="O9" s="11"/>
      <c r="P9" s="14" t="n">
        <f aca="false">SUM(E9:O9)</f>
        <v>0</v>
      </c>
      <c r="Q9" s="14" t="n">
        <f aca="false">P9*U9</f>
        <v>0</v>
      </c>
      <c r="R9" s="15" t="n">
        <f aca="false">P9*V9</f>
        <v>0</v>
      </c>
      <c r="S9" s="16" t="n">
        <f aca="false">IF(T9&gt;0,P9/T9,"")</f>
        <v>0</v>
      </c>
      <c r="T9" s="17" t="n">
        <v>3</v>
      </c>
      <c r="U9" s="17" t="n">
        <v>1</v>
      </c>
      <c r="V9" s="17" t="n">
        <v>5</v>
      </c>
      <c r="W9" s="17" t="n">
        <v>4.8</v>
      </c>
      <c r="X9" s="10" t="s">
        <v>35</v>
      </c>
      <c r="Y9" s="10" t="s">
        <v>41</v>
      </c>
    </row>
    <row r="10" customFormat="false" ht="15" hidden="false" customHeight="false" outlineLevel="0" collapsed="false">
      <c r="A10" s="18" t="s">
        <v>50</v>
      </c>
      <c r="B10" s="19" t="s">
        <v>50</v>
      </c>
      <c r="C10" s="19" t="s">
        <v>48</v>
      </c>
      <c r="D10" s="19" t="s">
        <v>51</v>
      </c>
      <c r="E10" s="11"/>
      <c r="F10" s="11"/>
      <c r="G10" s="11"/>
      <c r="H10" s="12"/>
      <c r="I10" s="11"/>
      <c r="J10" s="11"/>
      <c r="K10" s="11"/>
      <c r="L10" s="11"/>
      <c r="M10" s="11"/>
      <c r="N10" s="13"/>
      <c r="O10" s="11"/>
      <c r="P10" s="14" t="n">
        <f aca="false">SUM(E10:O10)</f>
        <v>0</v>
      </c>
      <c r="Q10" s="14" t="n">
        <f aca="false">P10*U10</f>
        <v>0</v>
      </c>
      <c r="R10" s="15" t="n">
        <f aca="false">P10*V10</f>
        <v>0</v>
      </c>
      <c r="S10" s="16" t="n">
        <f aca="false">IF(T10&gt;0,P10/T10,"")</f>
        <v>0</v>
      </c>
      <c r="T10" s="17" t="n">
        <v>3</v>
      </c>
      <c r="U10" s="17" t="n">
        <v>1</v>
      </c>
      <c r="V10" s="17" t="n">
        <v>5</v>
      </c>
      <c r="W10" s="17" t="n">
        <v>4.8</v>
      </c>
      <c r="X10" s="10" t="s">
        <v>35</v>
      </c>
      <c r="Y10" s="10" t="s">
        <v>41</v>
      </c>
    </row>
    <row r="11" customFormat="false" ht="15" hidden="false" customHeight="false" outlineLevel="0" collapsed="false">
      <c r="A11" s="9" t="s">
        <v>52</v>
      </c>
      <c r="B11" s="10" t="s">
        <v>52</v>
      </c>
      <c r="C11" s="10" t="s">
        <v>53</v>
      </c>
      <c r="D11" s="10" t="s">
        <v>54</v>
      </c>
      <c r="E11" s="11"/>
      <c r="F11" s="11"/>
      <c r="G11" s="11"/>
      <c r="H11" s="12"/>
      <c r="I11" s="11"/>
      <c r="J11" s="11"/>
      <c r="K11" s="11"/>
      <c r="L11" s="11"/>
      <c r="M11" s="11"/>
      <c r="N11" s="13"/>
      <c r="O11" s="11"/>
      <c r="P11" s="14" t="n">
        <f aca="false">SUM(E11:O11)</f>
        <v>0</v>
      </c>
      <c r="Q11" s="14" t="n">
        <f aca="false">P11*U11</f>
        <v>0</v>
      </c>
      <c r="R11" s="15" t="n">
        <f aca="false">P11*V11</f>
        <v>0</v>
      </c>
      <c r="S11" s="16" t="n">
        <f aca="false">IF(T11&gt;0,P11/T11,"")</f>
        <v>0</v>
      </c>
      <c r="T11" s="17" t="n">
        <v>8</v>
      </c>
      <c r="U11" s="17" t="n">
        <v>2</v>
      </c>
      <c r="V11" s="17" t="n">
        <v>2</v>
      </c>
      <c r="W11" s="17" t="n">
        <v>2</v>
      </c>
      <c r="X11" s="10" t="s">
        <v>35</v>
      </c>
      <c r="Y11" s="10" t="s">
        <v>55</v>
      </c>
    </row>
    <row r="12" customFormat="false" ht="15" hidden="false" customHeight="false" outlineLevel="0" collapsed="false">
      <c r="A12" s="18" t="s">
        <v>56</v>
      </c>
      <c r="B12" s="19" t="s">
        <v>56</v>
      </c>
      <c r="C12" s="19" t="s">
        <v>53</v>
      </c>
      <c r="D12" s="19" t="s">
        <v>57</v>
      </c>
      <c r="E12" s="11"/>
      <c r="F12" s="11"/>
      <c r="G12" s="11"/>
      <c r="H12" s="12"/>
      <c r="I12" s="11"/>
      <c r="J12" s="11"/>
      <c r="K12" s="11"/>
      <c r="L12" s="11"/>
      <c r="M12" s="11"/>
      <c r="N12" s="13"/>
      <c r="O12" s="11"/>
      <c r="P12" s="14" t="n">
        <f aca="false">SUM(E12:O12)</f>
        <v>0</v>
      </c>
      <c r="Q12" s="14" t="n">
        <f aca="false">P12*U12</f>
        <v>0</v>
      </c>
      <c r="R12" s="15" t="n">
        <f aca="false">P12*V12</f>
        <v>0</v>
      </c>
      <c r="S12" s="16" t="n">
        <f aca="false">IF(T12&gt;0,P12/T12,"")</f>
        <v>0</v>
      </c>
      <c r="T12" s="17" t="n">
        <v>8</v>
      </c>
      <c r="U12" s="17" t="n">
        <v>2</v>
      </c>
      <c r="V12" s="17" t="n">
        <v>2</v>
      </c>
      <c r="W12" s="17" t="n">
        <v>2</v>
      </c>
      <c r="X12" s="10" t="s">
        <v>35</v>
      </c>
      <c r="Y12" s="10" t="s">
        <v>55</v>
      </c>
    </row>
    <row r="13" customFormat="false" ht="15" hidden="false" customHeight="false" outlineLevel="0" collapsed="false">
      <c r="A13" s="9" t="s">
        <v>58</v>
      </c>
      <c r="B13" s="10" t="s">
        <v>58</v>
      </c>
      <c r="C13" s="10" t="s">
        <v>59</v>
      </c>
      <c r="D13" s="10" t="s">
        <v>60</v>
      </c>
      <c r="E13" s="11"/>
      <c r="F13" s="11"/>
      <c r="G13" s="11"/>
      <c r="H13" s="12"/>
      <c r="I13" s="11"/>
      <c r="J13" s="11"/>
      <c r="K13" s="11"/>
      <c r="L13" s="11"/>
      <c r="M13" s="11"/>
      <c r="N13" s="13"/>
      <c r="O13" s="11"/>
      <c r="P13" s="14" t="n">
        <f aca="false">SUM(E13:O13)</f>
        <v>0</v>
      </c>
      <c r="Q13" s="14" t="n">
        <f aca="false">P13*U13</f>
        <v>0</v>
      </c>
      <c r="R13" s="15" t="n">
        <f aca="false">P13*V13</f>
        <v>0</v>
      </c>
      <c r="S13" s="16" t="n">
        <f aca="false">IF(T13&gt;0,P13/T13,"")</f>
        <v>0</v>
      </c>
      <c r="T13" s="17" t="n">
        <v>8</v>
      </c>
      <c r="U13" s="17" t="n">
        <v>2</v>
      </c>
      <c r="V13" s="17" t="n">
        <v>2</v>
      </c>
      <c r="W13" s="17" t="n">
        <v>2</v>
      </c>
      <c r="X13" s="10" t="s">
        <v>61</v>
      </c>
      <c r="Y13" s="10" t="s">
        <v>55</v>
      </c>
    </row>
    <row r="14" customFormat="false" ht="15" hidden="false" customHeight="false" outlineLevel="0" collapsed="false">
      <c r="A14" s="9" t="s">
        <v>62</v>
      </c>
      <c r="B14" s="10" t="s">
        <v>62</v>
      </c>
      <c r="C14" s="10" t="s">
        <v>63</v>
      </c>
      <c r="D14" s="10" t="s">
        <v>64</v>
      </c>
      <c r="E14" s="11"/>
      <c r="F14" s="11"/>
      <c r="G14" s="11"/>
      <c r="H14" s="12"/>
      <c r="I14" s="11"/>
      <c r="J14" s="11"/>
      <c r="K14" s="11"/>
      <c r="L14" s="11"/>
      <c r="M14" s="11"/>
      <c r="N14" s="13"/>
      <c r="O14" s="11"/>
      <c r="P14" s="14" t="n">
        <f aca="false">SUM(E14:O14)</f>
        <v>0</v>
      </c>
      <c r="Q14" s="14" t="n">
        <f aca="false">P14*U14</f>
        <v>0</v>
      </c>
      <c r="R14" s="15" t="n">
        <f aca="false">P14*V14</f>
        <v>0</v>
      </c>
      <c r="S14" s="16" t="n">
        <f aca="false">IF(T14&gt;0,P14/T14,"")</f>
        <v>0</v>
      </c>
      <c r="T14" s="17" t="n">
        <v>16</v>
      </c>
      <c r="U14" s="17" t="n">
        <v>1</v>
      </c>
      <c r="V14" s="17" t="n">
        <v>1</v>
      </c>
      <c r="W14" s="17" t="n">
        <v>1</v>
      </c>
      <c r="X14" s="10" t="s">
        <v>35</v>
      </c>
      <c r="Y14" s="10" t="s">
        <v>55</v>
      </c>
    </row>
    <row r="15" customFormat="false" ht="15" hidden="false" customHeight="false" outlineLevel="0" collapsed="false">
      <c r="A15" s="9" t="s">
        <v>65</v>
      </c>
      <c r="B15" s="10" t="s">
        <v>65</v>
      </c>
      <c r="C15" s="10" t="s">
        <v>66</v>
      </c>
      <c r="D15" s="10" t="s">
        <v>67</v>
      </c>
      <c r="E15" s="11"/>
      <c r="F15" s="11"/>
      <c r="G15" s="11"/>
      <c r="H15" s="12"/>
      <c r="I15" s="11"/>
      <c r="J15" s="11"/>
      <c r="K15" s="11"/>
      <c r="L15" s="11"/>
      <c r="M15" s="11"/>
      <c r="N15" s="13"/>
      <c r="O15" s="11"/>
      <c r="P15" s="14" t="n">
        <f aca="false">SUM(E15:O15)</f>
        <v>0</v>
      </c>
      <c r="Q15" s="14" t="n">
        <f aca="false">P15*U15</f>
        <v>0</v>
      </c>
      <c r="R15" s="15" t="n">
        <f aca="false">P15*V15</f>
        <v>0</v>
      </c>
      <c r="S15" s="16" t="n">
        <f aca="false">IF(T15&gt;0,P15/T15,"")</f>
        <v>0</v>
      </c>
      <c r="T15" s="17" t="n">
        <v>3</v>
      </c>
      <c r="U15" s="17" t="n">
        <v>1</v>
      </c>
      <c r="V15" s="17" t="n">
        <v>5</v>
      </c>
      <c r="W15" s="17" t="n">
        <v>4.8</v>
      </c>
      <c r="X15" s="10" t="s">
        <v>68</v>
      </c>
      <c r="Y15" s="10" t="s">
        <v>36</v>
      </c>
    </row>
    <row r="16" customFormat="false" ht="15" hidden="false" customHeight="false" outlineLevel="0" collapsed="false">
      <c r="A16" s="18" t="s">
        <v>69</v>
      </c>
      <c r="B16" s="19" t="s">
        <v>69</v>
      </c>
      <c r="C16" s="19" t="s">
        <v>66</v>
      </c>
      <c r="D16" s="19" t="s">
        <v>70</v>
      </c>
      <c r="E16" s="11"/>
      <c r="F16" s="11"/>
      <c r="G16" s="11"/>
      <c r="H16" s="12"/>
      <c r="I16" s="11"/>
      <c r="J16" s="11"/>
      <c r="K16" s="11"/>
      <c r="L16" s="11"/>
      <c r="M16" s="11"/>
      <c r="N16" s="13"/>
      <c r="O16" s="11"/>
      <c r="P16" s="14" t="n">
        <f aca="false">SUM(E16:O16)</f>
        <v>0</v>
      </c>
      <c r="Q16" s="14" t="n">
        <f aca="false">P16*U16</f>
        <v>0</v>
      </c>
      <c r="R16" s="15" t="n">
        <f aca="false">P16*V16</f>
        <v>0</v>
      </c>
      <c r="S16" s="16" t="n">
        <f aca="false">IF(T16&gt;0,P16/T16,"")</f>
        <v>0</v>
      </c>
      <c r="T16" s="17" t="n">
        <v>3</v>
      </c>
      <c r="U16" s="17" t="n">
        <v>1</v>
      </c>
      <c r="V16" s="17" t="n">
        <v>5</v>
      </c>
      <c r="W16" s="17" t="n">
        <v>4.8</v>
      </c>
      <c r="X16" s="10" t="s">
        <v>68</v>
      </c>
      <c r="Y16" s="10" t="s">
        <v>36</v>
      </c>
    </row>
    <row r="17" customFormat="false" ht="15" hidden="false" customHeight="false" outlineLevel="0" collapsed="false">
      <c r="A17" s="9" t="s">
        <v>71</v>
      </c>
      <c r="B17" s="10" t="s">
        <v>71</v>
      </c>
      <c r="C17" s="10" t="s">
        <v>72</v>
      </c>
      <c r="D17" s="10" t="s">
        <v>73</v>
      </c>
      <c r="E17" s="11"/>
      <c r="F17" s="11"/>
      <c r="G17" s="11"/>
      <c r="H17" s="12"/>
      <c r="I17" s="11"/>
      <c r="J17" s="11"/>
      <c r="K17" s="11"/>
      <c r="L17" s="11"/>
      <c r="M17" s="11"/>
      <c r="N17" s="13"/>
      <c r="O17" s="11"/>
      <c r="P17" s="14" t="n">
        <f aca="false">SUM(E17:O17)</f>
        <v>0</v>
      </c>
      <c r="Q17" s="14" t="n">
        <f aca="false">P17*U17</f>
        <v>0</v>
      </c>
      <c r="R17" s="15" t="n">
        <f aca="false">P17*V17</f>
        <v>0</v>
      </c>
      <c r="S17" s="16" t="n">
        <f aca="false">IF(T17&gt;0,P17/T17,"")</f>
        <v>0</v>
      </c>
      <c r="T17" s="17" t="n">
        <v>8</v>
      </c>
      <c r="U17" s="17" t="n">
        <v>2</v>
      </c>
      <c r="V17" s="17" t="n">
        <v>2</v>
      </c>
      <c r="W17" s="17" t="n">
        <v>2</v>
      </c>
      <c r="X17" s="10" t="s">
        <v>68</v>
      </c>
      <c r="Y17" s="10" t="s">
        <v>55</v>
      </c>
    </row>
    <row r="18" customFormat="false" ht="15" hidden="false" customHeight="false" outlineLevel="0" collapsed="false">
      <c r="A18" s="18" t="s">
        <v>74</v>
      </c>
      <c r="B18" s="19" t="s">
        <v>74</v>
      </c>
      <c r="C18" s="19" t="s">
        <v>72</v>
      </c>
      <c r="D18" s="19" t="s">
        <v>75</v>
      </c>
      <c r="E18" s="11"/>
      <c r="F18" s="11"/>
      <c r="G18" s="11"/>
      <c r="H18" s="12"/>
      <c r="I18" s="11"/>
      <c r="J18" s="11"/>
      <c r="K18" s="11"/>
      <c r="L18" s="11"/>
      <c r="M18" s="11"/>
      <c r="N18" s="13"/>
      <c r="O18" s="11"/>
      <c r="P18" s="14" t="n">
        <f aca="false">SUM(E18:O18)</f>
        <v>0</v>
      </c>
      <c r="Q18" s="14" t="n">
        <f aca="false">P18*U18</f>
        <v>0</v>
      </c>
      <c r="R18" s="15" t="n">
        <f aca="false">P18*V18</f>
        <v>0</v>
      </c>
      <c r="S18" s="16" t="n">
        <f aca="false">IF(T18&gt;0,P18/T18,"")</f>
        <v>0</v>
      </c>
      <c r="T18" s="17" t="n">
        <v>8</v>
      </c>
      <c r="U18" s="17" t="n">
        <v>2</v>
      </c>
      <c r="V18" s="17" t="n">
        <v>2</v>
      </c>
      <c r="W18" s="17" t="n">
        <v>2</v>
      </c>
      <c r="X18" s="10" t="s">
        <v>68</v>
      </c>
      <c r="Y18" s="10" t="s">
        <v>55</v>
      </c>
    </row>
    <row r="19" customFormat="false" ht="15" hidden="false" customHeight="false" outlineLevel="0" collapsed="false">
      <c r="A19" s="9" t="s">
        <v>76</v>
      </c>
      <c r="B19" s="10" t="s">
        <v>76</v>
      </c>
      <c r="C19" s="10" t="s">
        <v>77</v>
      </c>
      <c r="D19" s="10" t="s">
        <v>78</v>
      </c>
      <c r="E19" s="11"/>
      <c r="F19" s="11"/>
      <c r="G19" s="11"/>
      <c r="H19" s="12"/>
      <c r="I19" s="11"/>
      <c r="J19" s="11"/>
      <c r="K19" s="11"/>
      <c r="L19" s="11"/>
      <c r="M19" s="11"/>
      <c r="N19" s="13"/>
      <c r="O19" s="11"/>
      <c r="P19" s="14" t="n">
        <f aca="false">SUM(E19:O19)</f>
        <v>0</v>
      </c>
      <c r="Q19" s="14" t="n">
        <f aca="false">P19*U19</f>
        <v>0</v>
      </c>
      <c r="R19" s="15" t="n">
        <f aca="false">P19*V19</f>
        <v>0</v>
      </c>
      <c r="S19" s="16" t="n">
        <f aca="false">IF(T19&gt;0,P19/T19,"")</f>
        <v>0</v>
      </c>
      <c r="T19" s="17" t="n">
        <v>16</v>
      </c>
      <c r="U19" s="17" t="n">
        <v>1</v>
      </c>
      <c r="V19" s="17" t="n">
        <v>1</v>
      </c>
      <c r="W19" s="17" t="n">
        <v>1</v>
      </c>
      <c r="X19" s="10" t="s">
        <v>68</v>
      </c>
      <c r="Y19" s="10" t="s">
        <v>55</v>
      </c>
    </row>
    <row r="20" customFormat="false" ht="15" hidden="false" customHeight="false" outlineLevel="0" collapsed="false">
      <c r="A20" s="9" t="s">
        <v>79</v>
      </c>
      <c r="B20" s="10" t="s">
        <v>79</v>
      </c>
      <c r="C20" s="10" t="s">
        <v>80</v>
      </c>
      <c r="D20" s="10" t="s">
        <v>81</v>
      </c>
      <c r="E20" s="11"/>
      <c r="F20" s="11"/>
      <c r="G20" s="11"/>
      <c r="H20" s="12"/>
      <c r="I20" s="11"/>
      <c r="J20" s="11"/>
      <c r="K20" s="11"/>
      <c r="L20" s="11"/>
      <c r="M20" s="11"/>
      <c r="N20" s="13"/>
      <c r="O20" s="11"/>
      <c r="P20" s="14" t="n">
        <f aca="false">SUM(E20:O20)</f>
        <v>0</v>
      </c>
      <c r="Q20" s="14" t="n">
        <f aca="false">P20*U20</f>
        <v>0</v>
      </c>
      <c r="R20" s="15" t="n">
        <f aca="false">P20*V20</f>
        <v>0</v>
      </c>
      <c r="S20" s="16" t="n">
        <f aca="false">IF(T20&gt;0,P20/T20,"")</f>
        <v>0</v>
      </c>
      <c r="T20" s="17" t="n">
        <v>3</v>
      </c>
      <c r="U20" s="17" t="n">
        <v>1</v>
      </c>
      <c r="V20" s="17" t="n">
        <v>1</v>
      </c>
      <c r="W20" s="20" t="n">
        <v>1.4</v>
      </c>
      <c r="X20" s="10" t="s">
        <v>68</v>
      </c>
      <c r="Y20" s="10" t="s">
        <v>82</v>
      </c>
    </row>
    <row r="21" customFormat="false" ht="15" hidden="false" customHeight="false" outlineLevel="0" collapsed="false">
      <c r="A21" s="9" t="s">
        <v>83</v>
      </c>
      <c r="B21" s="10" t="s">
        <v>83</v>
      </c>
      <c r="C21" s="10" t="s">
        <v>84</v>
      </c>
      <c r="D21" s="10" t="s">
        <v>85</v>
      </c>
      <c r="E21" s="11"/>
      <c r="F21" s="11"/>
      <c r="G21" s="11"/>
      <c r="H21" s="12"/>
      <c r="I21" s="11"/>
      <c r="J21" s="11"/>
      <c r="K21" s="11"/>
      <c r="L21" s="11"/>
      <c r="M21" s="11"/>
      <c r="N21" s="13"/>
      <c r="O21" s="11"/>
      <c r="P21" s="14" t="n">
        <f aca="false">SUM(E21:O21)</f>
        <v>0</v>
      </c>
      <c r="Q21" s="14" t="n">
        <f aca="false">P21*U21</f>
        <v>0</v>
      </c>
      <c r="R21" s="15" t="n">
        <f aca="false">P21*V21</f>
        <v>0</v>
      </c>
      <c r="S21" s="16" t="n">
        <f aca="false">IF(T21&gt;0,P21/T21,"")</f>
        <v>0</v>
      </c>
      <c r="T21" s="17" t="n">
        <v>25</v>
      </c>
      <c r="U21" s="17" t="n">
        <v>1</v>
      </c>
      <c r="V21" s="17" t="n">
        <v>0.5</v>
      </c>
      <c r="W21" s="20" t="n">
        <v>0.55</v>
      </c>
      <c r="X21" s="10" t="s">
        <v>68</v>
      </c>
      <c r="Y21" s="10" t="s">
        <v>86</v>
      </c>
    </row>
    <row r="22" customFormat="false" ht="15" hidden="false" customHeight="false" outlineLevel="0" collapsed="false">
      <c r="A22" s="9" t="s">
        <v>87</v>
      </c>
      <c r="B22" s="10" t="s">
        <v>87</v>
      </c>
      <c r="C22" s="10" t="s">
        <v>88</v>
      </c>
      <c r="D22" s="10" t="s">
        <v>89</v>
      </c>
      <c r="E22" s="11"/>
      <c r="F22" s="11"/>
      <c r="G22" s="11"/>
      <c r="H22" s="12"/>
      <c r="I22" s="11"/>
      <c r="J22" s="11"/>
      <c r="K22" s="11"/>
      <c r="L22" s="11"/>
      <c r="M22" s="11"/>
      <c r="N22" s="13"/>
      <c r="O22" s="11"/>
      <c r="P22" s="14" t="n">
        <f aca="false">SUM(E22:O22)</f>
        <v>0</v>
      </c>
      <c r="Q22" s="14" t="n">
        <f aca="false">P22*U22</f>
        <v>0</v>
      </c>
      <c r="R22" s="15" t="n">
        <f aca="false">P22*V22</f>
        <v>0</v>
      </c>
      <c r="S22" s="16" t="n">
        <f aca="false">IF(T22&gt;0,P22/T22,"")</f>
        <v>0</v>
      </c>
      <c r="T22" s="17" t="n">
        <v>3</v>
      </c>
      <c r="U22" s="17" t="n">
        <v>1</v>
      </c>
      <c r="V22" s="17" t="n">
        <v>5</v>
      </c>
      <c r="W22" s="17" t="n">
        <v>4.8</v>
      </c>
      <c r="X22" s="10" t="s">
        <v>90</v>
      </c>
      <c r="Y22" s="10" t="s">
        <v>41</v>
      </c>
    </row>
    <row r="23" customFormat="false" ht="15" hidden="false" customHeight="false" outlineLevel="0" collapsed="false">
      <c r="A23" s="9" t="s">
        <v>91</v>
      </c>
      <c r="B23" s="10" t="s">
        <v>91</v>
      </c>
      <c r="C23" s="10" t="s">
        <v>92</v>
      </c>
      <c r="D23" s="10" t="s">
        <v>93</v>
      </c>
      <c r="E23" s="11"/>
      <c r="F23" s="11"/>
      <c r="G23" s="11"/>
      <c r="H23" s="12"/>
      <c r="I23" s="11"/>
      <c r="J23" s="11"/>
      <c r="K23" s="11"/>
      <c r="L23" s="11"/>
      <c r="M23" s="11"/>
      <c r="N23" s="13"/>
      <c r="O23" s="11"/>
      <c r="P23" s="14" t="n">
        <f aca="false">SUM(E23:O23)</f>
        <v>0</v>
      </c>
      <c r="Q23" s="14" t="n">
        <f aca="false">P23*U23</f>
        <v>0</v>
      </c>
      <c r="R23" s="15" t="n">
        <f aca="false">P23*V23</f>
        <v>0</v>
      </c>
      <c r="S23" s="16" t="n">
        <f aca="false">IF(T23&gt;0,P23/T23,"")</f>
        <v>0</v>
      </c>
      <c r="T23" s="17" t="n">
        <v>8</v>
      </c>
      <c r="U23" s="17" t="n">
        <v>2</v>
      </c>
      <c r="V23" s="17" t="n">
        <v>2</v>
      </c>
      <c r="W23" s="17" t="n">
        <v>2</v>
      </c>
      <c r="X23" s="10" t="s">
        <v>90</v>
      </c>
      <c r="Y23" s="10" t="s">
        <v>55</v>
      </c>
    </row>
    <row r="24" customFormat="false" ht="15" hidden="false" customHeight="false" outlineLevel="0" collapsed="false">
      <c r="A24" s="9" t="s">
        <v>94</v>
      </c>
      <c r="B24" s="10" t="s">
        <v>94</v>
      </c>
      <c r="C24" s="10" t="s">
        <v>95</v>
      </c>
      <c r="D24" s="10" t="s">
        <v>96</v>
      </c>
      <c r="E24" s="11"/>
      <c r="F24" s="11"/>
      <c r="G24" s="11"/>
      <c r="H24" s="12"/>
      <c r="I24" s="11"/>
      <c r="J24" s="11"/>
      <c r="K24" s="11"/>
      <c r="L24" s="11"/>
      <c r="M24" s="11"/>
      <c r="N24" s="13"/>
      <c r="O24" s="11"/>
      <c r="P24" s="14" t="n">
        <f aca="false">SUM(E24:O24)</f>
        <v>0</v>
      </c>
      <c r="Q24" s="14" t="n">
        <f aca="false">P24*U24</f>
        <v>0</v>
      </c>
      <c r="R24" s="15" t="n">
        <f aca="false">P24*V24</f>
        <v>0</v>
      </c>
      <c r="S24" s="16" t="n">
        <f aca="false">IF(T24&gt;0,P24/T24,"")</f>
        <v>0</v>
      </c>
      <c r="T24" s="17" t="n">
        <v>16</v>
      </c>
      <c r="U24" s="17" t="n">
        <v>1</v>
      </c>
      <c r="V24" s="17" t="n">
        <v>1</v>
      </c>
      <c r="W24" s="17" t="n">
        <v>1</v>
      </c>
      <c r="X24" s="10" t="s">
        <v>90</v>
      </c>
      <c r="Y24" s="10" t="s">
        <v>55</v>
      </c>
    </row>
    <row r="25" customFormat="false" ht="15" hidden="false" customHeight="false" outlineLevel="0" collapsed="false">
      <c r="A25" s="9" t="s">
        <v>97</v>
      </c>
      <c r="B25" s="10" t="s">
        <v>97</v>
      </c>
      <c r="C25" s="10" t="s">
        <v>98</v>
      </c>
      <c r="D25" s="10" t="s">
        <v>99</v>
      </c>
      <c r="E25" s="11"/>
      <c r="F25" s="11"/>
      <c r="G25" s="11"/>
      <c r="H25" s="12"/>
      <c r="I25" s="11"/>
      <c r="J25" s="11"/>
      <c r="K25" s="11"/>
      <c r="L25" s="11"/>
      <c r="M25" s="11"/>
      <c r="N25" s="13"/>
      <c r="O25" s="11"/>
      <c r="P25" s="14" t="n">
        <f aca="false">SUM(E25:O25)</f>
        <v>0</v>
      </c>
      <c r="Q25" s="14" t="n">
        <f aca="false">P25*U25</f>
        <v>0</v>
      </c>
      <c r="R25" s="15" t="n">
        <f aca="false">P25*V25</f>
        <v>0</v>
      </c>
      <c r="S25" s="16" t="n">
        <f aca="false">IF(T25&gt;0,P25/T25,"")</f>
        <v>0</v>
      </c>
      <c r="T25" s="17" t="n">
        <v>25</v>
      </c>
      <c r="U25" s="17" t="n">
        <v>1</v>
      </c>
      <c r="V25" s="17" t="n">
        <v>0.5</v>
      </c>
      <c r="W25" s="20" t="n">
        <v>0.55</v>
      </c>
      <c r="X25" s="10" t="s">
        <v>90</v>
      </c>
      <c r="Y25" s="10" t="s">
        <v>86</v>
      </c>
    </row>
    <row r="26" customFormat="false" ht="15" hidden="false" customHeight="false" outlineLevel="0" collapsed="false">
      <c r="A26" s="9" t="s">
        <v>100</v>
      </c>
      <c r="B26" s="10" t="s">
        <v>100</v>
      </c>
      <c r="C26" s="10" t="s">
        <v>101</v>
      </c>
      <c r="D26" s="10" t="s">
        <v>102</v>
      </c>
      <c r="E26" s="11"/>
      <c r="F26" s="11"/>
      <c r="G26" s="11"/>
      <c r="H26" s="12"/>
      <c r="I26" s="11"/>
      <c r="J26" s="11"/>
      <c r="K26" s="11"/>
      <c r="L26" s="11"/>
      <c r="M26" s="11"/>
      <c r="N26" s="13"/>
      <c r="O26" s="11"/>
      <c r="P26" s="14" t="n">
        <f aca="false">SUM(E26:O26)</f>
        <v>0</v>
      </c>
      <c r="Q26" s="14" t="n">
        <f aca="false">P26*U26</f>
        <v>0</v>
      </c>
      <c r="R26" s="15" t="n">
        <f aca="false">P26*V26</f>
        <v>0</v>
      </c>
      <c r="S26" s="16" t="n">
        <f aca="false">IF(T26&gt;0,P26/T26,"")</f>
        <v>0</v>
      </c>
      <c r="T26" s="17" t="n">
        <v>3</v>
      </c>
      <c r="U26" s="17" t="n">
        <v>1</v>
      </c>
      <c r="V26" s="17" t="n">
        <v>5</v>
      </c>
      <c r="W26" s="17" t="n">
        <v>4.8</v>
      </c>
      <c r="X26" s="10" t="s">
        <v>103</v>
      </c>
      <c r="Y26" s="10" t="s">
        <v>41</v>
      </c>
    </row>
    <row r="27" customFormat="false" ht="15" hidden="false" customHeight="false" outlineLevel="0" collapsed="false">
      <c r="A27" s="9" t="s">
        <v>104</v>
      </c>
      <c r="B27" s="10" t="s">
        <v>104</v>
      </c>
      <c r="C27" s="10" t="s">
        <v>105</v>
      </c>
      <c r="D27" s="10" t="s">
        <v>106</v>
      </c>
      <c r="E27" s="11"/>
      <c r="F27" s="11"/>
      <c r="G27" s="11"/>
      <c r="H27" s="12"/>
      <c r="I27" s="11"/>
      <c r="J27" s="11"/>
      <c r="K27" s="11"/>
      <c r="L27" s="11"/>
      <c r="M27" s="11"/>
      <c r="N27" s="13"/>
      <c r="O27" s="11"/>
      <c r="P27" s="14" t="n">
        <f aca="false">SUM(E27:O27)</f>
        <v>0</v>
      </c>
      <c r="Q27" s="14" t="n">
        <f aca="false">P27*U27</f>
        <v>0</v>
      </c>
      <c r="R27" s="15" t="n">
        <f aca="false">P27*V27</f>
        <v>0</v>
      </c>
      <c r="S27" s="16" t="n">
        <f aca="false">IF(T27&gt;0,P27/T27,"")</f>
        <v>0</v>
      </c>
      <c r="T27" s="17" t="n">
        <v>8</v>
      </c>
      <c r="U27" s="17" t="n">
        <v>2</v>
      </c>
      <c r="V27" s="17" t="n">
        <v>2</v>
      </c>
      <c r="W27" s="17" t="n">
        <v>2</v>
      </c>
      <c r="X27" s="10" t="s">
        <v>103</v>
      </c>
      <c r="Y27" s="10" t="s">
        <v>55</v>
      </c>
    </row>
    <row r="28" customFormat="false" ht="15" hidden="false" customHeight="false" outlineLevel="0" collapsed="false">
      <c r="A28" s="9" t="s">
        <v>107</v>
      </c>
      <c r="B28" s="10" t="s">
        <v>107</v>
      </c>
      <c r="C28" s="10" t="s">
        <v>108</v>
      </c>
      <c r="D28" s="10" t="s">
        <v>109</v>
      </c>
      <c r="E28" s="11"/>
      <c r="F28" s="11"/>
      <c r="G28" s="11"/>
      <c r="H28" s="12"/>
      <c r="I28" s="11"/>
      <c r="J28" s="11"/>
      <c r="K28" s="11"/>
      <c r="L28" s="11"/>
      <c r="M28" s="11"/>
      <c r="N28" s="13"/>
      <c r="O28" s="11"/>
      <c r="P28" s="14" t="n">
        <f aca="false">SUM(E28:O28)</f>
        <v>0</v>
      </c>
      <c r="Q28" s="14" t="n">
        <f aca="false">P28*U28</f>
        <v>0</v>
      </c>
      <c r="R28" s="15" t="n">
        <f aca="false">P28*V28</f>
        <v>0</v>
      </c>
      <c r="S28" s="16" t="n">
        <f aca="false">IF(T28&gt;0,P28/T28,"")</f>
        <v>0</v>
      </c>
      <c r="T28" s="17" t="n">
        <v>16</v>
      </c>
      <c r="U28" s="17" t="n">
        <v>1</v>
      </c>
      <c r="V28" s="17" t="n">
        <v>1</v>
      </c>
      <c r="W28" s="17" t="n">
        <v>1</v>
      </c>
      <c r="X28" s="10" t="s">
        <v>103</v>
      </c>
      <c r="Y28" s="10" t="s">
        <v>55</v>
      </c>
    </row>
    <row r="29" customFormat="false" ht="15" hidden="false" customHeight="false" outlineLevel="0" collapsed="false">
      <c r="A29" s="9" t="s">
        <v>110</v>
      </c>
      <c r="B29" s="10" t="s">
        <v>110</v>
      </c>
      <c r="C29" s="10" t="s">
        <v>111</v>
      </c>
      <c r="D29" s="10" t="s">
        <v>112</v>
      </c>
      <c r="E29" s="11"/>
      <c r="F29" s="11"/>
      <c r="G29" s="11"/>
      <c r="H29" s="12"/>
      <c r="I29" s="11"/>
      <c r="J29" s="11"/>
      <c r="K29" s="11"/>
      <c r="L29" s="11"/>
      <c r="M29" s="11"/>
      <c r="N29" s="13"/>
      <c r="O29" s="11"/>
      <c r="P29" s="14" t="n">
        <f aca="false">SUM(E29:O29)</f>
        <v>0</v>
      </c>
      <c r="Q29" s="14" t="n">
        <f aca="false">P29*U29</f>
        <v>0</v>
      </c>
      <c r="R29" s="15" t="n">
        <f aca="false">P29*V29</f>
        <v>0</v>
      </c>
      <c r="S29" s="16" t="n">
        <f aca="false">IF(T29&gt;0,P29/T29,"")</f>
        <v>0</v>
      </c>
      <c r="T29" s="17" t="n">
        <v>25</v>
      </c>
      <c r="U29" s="17" t="n">
        <v>1</v>
      </c>
      <c r="V29" s="17" t="n">
        <v>0.5</v>
      </c>
      <c r="W29" s="20" t="n">
        <v>0.55</v>
      </c>
      <c r="X29" s="10" t="s">
        <v>103</v>
      </c>
      <c r="Y29" s="10" t="s">
        <v>86</v>
      </c>
    </row>
    <row r="30" customFormat="false" ht="15" hidden="false" customHeight="false" outlineLevel="0" collapsed="false">
      <c r="A30" s="9" t="s">
        <v>113</v>
      </c>
      <c r="B30" s="10" t="s">
        <v>113</v>
      </c>
      <c r="C30" s="10" t="s">
        <v>114</v>
      </c>
      <c r="D30" s="10" t="s">
        <v>115</v>
      </c>
      <c r="E30" s="11"/>
      <c r="F30" s="11"/>
      <c r="G30" s="11"/>
      <c r="H30" s="12"/>
      <c r="I30" s="11"/>
      <c r="J30" s="11"/>
      <c r="K30" s="11"/>
      <c r="L30" s="11"/>
      <c r="M30" s="11"/>
      <c r="N30" s="13"/>
      <c r="O30" s="11"/>
      <c r="P30" s="14" t="n">
        <f aca="false">SUM(E30:O30)</f>
        <v>0</v>
      </c>
      <c r="Q30" s="14" t="n">
        <f aca="false">P30*U30</f>
        <v>0</v>
      </c>
      <c r="R30" s="15" t="n">
        <f aca="false">P30*V30</f>
        <v>0</v>
      </c>
      <c r="S30" s="16" t="n">
        <f aca="false">IF(T30&gt;0,P30/T30,"")</f>
        <v>0</v>
      </c>
      <c r="T30" s="17" t="n">
        <v>3</v>
      </c>
      <c r="U30" s="17" t="n">
        <v>1</v>
      </c>
      <c r="V30" s="17" t="n">
        <v>5</v>
      </c>
      <c r="W30" s="17" t="n">
        <v>4.8</v>
      </c>
      <c r="X30" s="10" t="s">
        <v>116</v>
      </c>
      <c r="Y30" s="10" t="s">
        <v>41</v>
      </c>
    </row>
    <row r="31" customFormat="false" ht="15" hidden="false" customHeight="false" outlineLevel="0" collapsed="false">
      <c r="A31" s="9" t="s">
        <v>117</v>
      </c>
      <c r="B31" s="10" t="s">
        <v>117</v>
      </c>
      <c r="C31" s="10" t="s">
        <v>118</v>
      </c>
      <c r="D31" s="10" t="s">
        <v>119</v>
      </c>
      <c r="E31" s="11"/>
      <c r="F31" s="11"/>
      <c r="G31" s="11"/>
      <c r="H31" s="12"/>
      <c r="I31" s="11"/>
      <c r="J31" s="11"/>
      <c r="K31" s="11"/>
      <c r="L31" s="11"/>
      <c r="M31" s="11"/>
      <c r="N31" s="13"/>
      <c r="O31" s="11"/>
      <c r="P31" s="14" t="n">
        <f aca="false">SUM(E31:O31)</f>
        <v>0</v>
      </c>
      <c r="Q31" s="14" t="n">
        <f aca="false">P31*U31</f>
        <v>0</v>
      </c>
      <c r="R31" s="15" t="n">
        <f aca="false">P31*V31</f>
        <v>0</v>
      </c>
      <c r="S31" s="16" t="n">
        <f aca="false">IF(T31&gt;0,P31/T31,"")</f>
        <v>0</v>
      </c>
      <c r="T31" s="17" t="n">
        <v>16</v>
      </c>
      <c r="U31" s="17" t="n">
        <v>1</v>
      </c>
      <c r="V31" s="17" t="n">
        <v>1</v>
      </c>
      <c r="W31" s="17" t="n">
        <v>1</v>
      </c>
      <c r="X31" s="10" t="s">
        <v>116</v>
      </c>
      <c r="Y31" s="10" t="s">
        <v>55</v>
      </c>
    </row>
    <row r="32" customFormat="false" ht="15" hidden="false" customHeight="false" outlineLevel="0" collapsed="false">
      <c r="A32" s="9" t="s">
        <v>120</v>
      </c>
      <c r="B32" s="10" t="s">
        <v>120</v>
      </c>
      <c r="C32" s="10" t="s">
        <v>121</v>
      </c>
      <c r="D32" s="10" t="s">
        <v>122</v>
      </c>
      <c r="E32" s="11"/>
      <c r="F32" s="11"/>
      <c r="G32" s="11"/>
      <c r="H32" s="12"/>
      <c r="I32" s="11"/>
      <c r="J32" s="11"/>
      <c r="K32" s="11"/>
      <c r="L32" s="11"/>
      <c r="M32" s="11"/>
      <c r="N32" s="13"/>
      <c r="O32" s="11"/>
      <c r="P32" s="14" t="n">
        <f aca="false">SUM(E32:O32)</f>
        <v>0</v>
      </c>
      <c r="Q32" s="14" t="n">
        <f aca="false">P32*U32</f>
        <v>0</v>
      </c>
      <c r="R32" s="15" t="n">
        <f aca="false">P32*V32</f>
        <v>0</v>
      </c>
      <c r="S32" s="16" t="n">
        <f aca="false">IF(T32&gt;0,P32/T32,"")</f>
        <v>0</v>
      </c>
      <c r="T32" s="17" t="n">
        <v>3</v>
      </c>
      <c r="U32" s="17" t="n">
        <v>1</v>
      </c>
      <c r="V32" s="17" t="n">
        <v>5</v>
      </c>
      <c r="W32" s="17" t="n">
        <v>4.8</v>
      </c>
      <c r="X32" s="10" t="s">
        <v>123</v>
      </c>
      <c r="Y32" s="10" t="s">
        <v>41</v>
      </c>
    </row>
    <row r="33" customFormat="false" ht="15" hidden="false" customHeight="false" outlineLevel="0" collapsed="false">
      <c r="A33" s="9" t="s">
        <v>124</v>
      </c>
      <c r="B33" s="10" t="s">
        <v>124</v>
      </c>
      <c r="C33" s="10" t="s">
        <v>125</v>
      </c>
      <c r="D33" s="10" t="s">
        <v>126</v>
      </c>
      <c r="E33" s="11"/>
      <c r="F33" s="11"/>
      <c r="G33" s="11"/>
      <c r="H33" s="12"/>
      <c r="I33" s="11"/>
      <c r="J33" s="11"/>
      <c r="K33" s="11"/>
      <c r="L33" s="11"/>
      <c r="M33" s="11"/>
      <c r="N33" s="13"/>
      <c r="O33" s="11"/>
      <c r="P33" s="14" t="n">
        <f aca="false">SUM(E33:O33)</f>
        <v>0</v>
      </c>
      <c r="Q33" s="14" t="n">
        <f aca="false">P33*U33</f>
        <v>0</v>
      </c>
      <c r="R33" s="15" t="n">
        <f aca="false">P33*V33</f>
        <v>0</v>
      </c>
      <c r="S33" s="16" t="n">
        <f aca="false">IF(T33&gt;0,P33/T33,"")</f>
        <v>0</v>
      </c>
      <c r="T33" s="17" t="n">
        <v>8</v>
      </c>
      <c r="U33" s="17" t="n">
        <v>2</v>
      </c>
      <c r="V33" s="17" t="n">
        <v>2</v>
      </c>
      <c r="W33" s="17" t="n">
        <v>2</v>
      </c>
      <c r="X33" s="10" t="s">
        <v>123</v>
      </c>
      <c r="Y33" s="10" t="s">
        <v>55</v>
      </c>
    </row>
    <row r="34" customFormat="false" ht="15" hidden="false" customHeight="false" outlineLevel="0" collapsed="false">
      <c r="A34" s="9" t="s">
        <v>127</v>
      </c>
      <c r="B34" s="10" t="s">
        <v>127</v>
      </c>
      <c r="C34" s="10" t="s">
        <v>128</v>
      </c>
      <c r="D34" s="10" t="s">
        <v>129</v>
      </c>
      <c r="E34" s="11"/>
      <c r="F34" s="11"/>
      <c r="G34" s="11"/>
      <c r="H34" s="12"/>
      <c r="I34" s="11"/>
      <c r="J34" s="11"/>
      <c r="K34" s="11"/>
      <c r="L34" s="11"/>
      <c r="M34" s="11"/>
      <c r="N34" s="13"/>
      <c r="O34" s="11"/>
      <c r="P34" s="14" t="n">
        <f aca="false">SUM(E34:O34)</f>
        <v>0</v>
      </c>
      <c r="Q34" s="14" t="n">
        <f aca="false">P34*U34</f>
        <v>0</v>
      </c>
      <c r="R34" s="15" t="n">
        <f aca="false">P34*V34</f>
        <v>0</v>
      </c>
      <c r="S34" s="16" t="n">
        <f aca="false">IF(T34&gt;0,P34/T34,"")</f>
        <v>0</v>
      </c>
      <c r="T34" s="17" t="n">
        <v>16</v>
      </c>
      <c r="U34" s="17" t="n">
        <v>1</v>
      </c>
      <c r="V34" s="17" t="n">
        <v>1</v>
      </c>
      <c r="W34" s="17" t="n">
        <v>1</v>
      </c>
      <c r="X34" s="10" t="s">
        <v>123</v>
      </c>
      <c r="Y34" s="10" t="s">
        <v>55</v>
      </c>
    </row>
    <row r="35" customFormat="false" ht="15" hidden="false" customHeight="false" outlineLevel="0" collapsed="false">
      <c r="D35" s="1" t="s">
        <v>130</v>
      </c>
      <c r="E35" s="21" t="n">
        <f aca="false">SUMPRODUCT($W$5:$W$34,E5:E34)</f>
        <v>0</v>
      </c>
      <c r="F35" s="21" t="n">
        <f aca="false">SUMPRODUCT($W$5:$W$34,F5:F34)</f>
        <v>0</v>
      </c>
      <c r="G35" s="21" t="n">
        <f aca="false">SUMPRODUCT($W$5:$W$34,G5:G34)</f>
        <v>0</v>
      </c>
      <c r="H35" s="21" t="n">
        <f aca="false">SUMPRODUCT($W$5:$W$34,H5:H34)</f>
        <v>0</v>
      </c>
      <c r="I35" s="21" t="n">
        <f aca="false">SUMPRODUCT($W$5:$W$34,I5:I34)</f>
        <v>0</v>
      </c>
      <c r="J35" s="21" t="n">
        <f aca="false">SUMPRODUCT($W$5:$W$34,J5:J34)</f>
        <v>0</v>
      </c>
      <c r="K35" s="21" t="n">
        <f aca="false">SUMPRODUCT($W$5:$W$34,K5:K34)</f>
        <v>0</v>
      </c>
      <c r="L35" s="21" t="n">
        <f aca="false">SUMPRODUCT($W$5:$W$34,L5:L34)</f>
        <v>0</v>
      </c>
      <c r="M35" s="21" t="n">
        <f aca="false">SUMPRODUCT($W$5:$W$34,M5:M34)</f>
        <v>0</v>
      </c>
      <c r="N35" s="21" t="n">
        <f aca="false">SUMPRODUCT($W$5:$W$34,N5:N34)</f>
        <v>0</v>
      </c>
      <c r="O35" s="21" t="n">
        <f aca="false">SUMPRODUCT($W$5:$W$34,O5:O34)</f>
        <v>0</v>
      </c>
      <c r="P35" s="21" t="n">
        <f aca="false">SUM(P5:P34)</f>
        <v>0</v>
      </c>
      <c r="Q35" s="21" t="n">
        <f aca="false">SUM(Q5:Q34)</f>
        <v>0</v>
      </c>
      <c r="R35" s="22" t="n">
        <f aca="false">SUM(R5:R34)</f>
        <v>0</v>
      </c>
      <c r="S35" s="23" t="n">
        <f aca="false">SUM(S5:S34)</f>
        <v>0</v>
      </c>
    </row>
    <row r="37" customFormat="false" ht="15" hidden="false" customHeight="false" outlineLevel="0" collapsed="false">
      <c r="D37" s="1" t="s">
        <v>131</v>
      </c>
    </row>
    <row r="38" customFormat="false" ht="15" hidden="false" customHeight="false" outlineLevel="0" collapsed="false">
      <c r="D38" s="0" t="s">
        <v>132</v>
      </c>
      <c r="E38" s="24" t="n">
        <f aca="false">SUMIF($X$5:$X$34,"Groundnut",$R$5:$R$34)+SUMIF($X$5:$X$34,"Combo*",$R$5:$R$34)/2</f>
        <v>0</v>
      </c>
    </row>
    <row r="39" customFormat="false" ht="15" hidden="false" customHeight="false" outlineLevel="0" collapsed="false">
      <c r="D39" s="0" t="s">
        <v>133</v>
      </c>
      <c r="E39" s="24" t="n">
        <f aca="false">SUMIF($X$5:$X$34,"Sesame",$R$5:$R$34)+SUMIF($X$5:$X$34,"Combo*",$R$5:$R$34)/2</f>
        <v>0</v>
      </c>
    </row>
    <row r="40" customFormat="false" ht="15" hidden="false" customHeight="false" outlineLevel="0" collapsed="false">
      <c r="D40" s="0" t="s">
        <v>134</v>
      </c>
      <c r="E40" s="24" t="n">
        <f aca="false">SUMIF($X$5:$X$34,"Coconut",$R$5:$R$34)</f>
        <v>0</v>
      </c>
    </row>
    <row r="41" customFormat="false" ht="15" hidden="false" customHeight="false" outlineLevel="0" collapsed="false">
      <c r="D41" s="0" t="s">
        <v>135</v>
      </c>
      <c r="E41" s="24" t="n">
        <f aca="false">SUMIF($X$5:$X$34,"VCO",$R$5:$R$34)</f>
        <v>0</v>
      </c>
    </row>
    <row r="42" customFormat="false" ht="15" hidden="false" customHeight="false" outlineLevel="0" collapsed="false">
      <c r="D42" s="0" t="s">
        <v>136</v>
      </c>
      <c r="E42" s="24" t="n">
        <f aca="false">SUMIF($X$5:$X$34,"Mustard",$R$5:$R$34)</f>
        <v>0</v>
      </c>
    </row>
    <row r="43" customFormat="false" ht="15" hidden="false" customHeight="false" outlineLevel="0" collapsed="false">
      <c r="D43" s="0" t="s">
        <v>137</v>
      </c>
      <c r="E43" s="24" t="n">
        <f aca="false">SUMIF($X$5:$X$34,"Deepam",$R$5:$R$34)</f>
        <v>0</v>
      </c>
    </row>
    <row r="45" customFormat="false" ht="15" hidden="false" customHeight="false" outlineLevel="0" collapsed="false">
      <c r="D45" s="1" t="s">
        <v>138</v>
      </c>
    </row>
    <row r="46" customFormat="false" ht="15" hidden="false" customHeight="false" outlineLevel="0" collapsed="false">
      <c r="D46" s="1" t="s">
        <v>139</v>
      </c>
      <c r="E46" s="1" t="s">
        <v>30</v>
      </c>
    </row>
    <row r="47" customFormat="false" ht="15" hidden="false" customHeight="false" outlineLevel="0" collapsed="false">
      <c r="D47" s="0" t="s">
        <v>140</v>
      </c>
      <c r="E47" s="25" t="n">
        <f aca="false">SUMIFS($Q$5:$Q$34,$Y$5:$Y$34,"1L PET",$X$5:$X$34,"Groundnut")+SUMIFS($Q$5:$Q$34,$Y$5:$Y$34,"1L PET",$X$5:$X$34,"Combo*")/2</f>
        <v>0</v>
      </c>
    </row>
    <row r="48" customFormat="false" ht="15" hidden="false" customHeight="false" outlineLevel="0" collapsed="false">
      <c r="D48" s="0" t="s">
        <v>141</v>
      </c>
      <c r="E48" s="25" t="n">
        <f aca="false">SUMIFS($Q$5:$Q$34,$Y$5:$Y$34,"1L PET",$X$5:$X$34,"Sesame")+SUMIFS($Q$5:$Q$34,$Y$5:$Y$34,"1L PET",$X$5:$X$34,"Combo*")/2</f>
        <v>0</v>
      </c>
    </row>
    <row r="49" customFormat="false" ht="15" hidden="false" customHeight="false" outlineLevel="0" collapsed="false">
      <c r="D49" s="0" t="s">
        <v>142</v>
      </c>
      <c r="E49" s="25" t="n">
        <f aca="false">SUMIFS($Q$5:$Q$34,$Y$5:$Y$34,"1L PET",$X$5:$X$34,"Coconut")</f>
        <v>0</v>
      </c>
    </row>
    <row r="50" customFormat="false" ht="15" hidden="false" customHeight="false" outlineLevel="0" collapsed="false">
      <c r="D50" s="0" t="s">
        <v>143</v>
      </c>
      <c r="E50" s="25" t="n">
        <f aca="false">SUMIFS($Q$5:$Q$34,$Y$5:$Y$34,"1L PET",$X$5:$X$34,"VCO")</f>
        <v>0</v>
      </c>
    </row>
    <row r="51" customFormat="false" ht="15" hidden="false" customHeight="false" outlineLevel="0" collapsed="false">
      <c r="D51" s="0" t="s">
        <v>144</v>
      </c>
      <c r="E51" s="25" t="n">
        <f aca="false">SUMIFS($Q$5:$Q$34,$Y$5:$Y$34,"1L PET",$X$5:$X$34,"Mustard")</f>
        <v>0</v>
      </c>
    </row>
    <row r="52" customFormat="false" ht="15" hidden="false" customHeight="false" outlineLevel="0" collapsed="false">
      <c r="D52" s="0" t="s">
        <v>145</v>
      </c>
      <c r="E52" s="25" t="n">
        <f aca="false">SUMIFS($Q$5:$Q$34,$Y$5:$Y$34,"1L PET",$X$5:$X$34,"Deepam")</f>
        <v>0</v>
      </c>
    </row>
    <row r="53" customFormat="false" ht="15" hidden="false" customHeight="false" outlineLevel="0" collapsed="false">
      <c r="D53" s="1" t="s">
        <v>146</v>
      </c>
      <c r="E53" s="26" t="n">
        <f aca="false">SUMIF($Y$5:$Y$34,"1L PET",$Q$5:$Q$34)</f>
        <v>0</v>
      </c>
    </row>
    <row r="55" customFormat="false" ht="15" hidden="false" customHeight="false" outlineLevel="0" collapsed="false">
      <c r="D55" s="1" t="s">
        <v>147</v>
      </c>
      <c r="E55" s="1" t="s">
        <v>30</v>
      </c>
    </row>
    <row r="56" customFormat="false" ht="15" hidden="false" customHeight="false" outlineLevel="0" collapsed="false">
      <c r="D56" s="0" t="s">
        <v>148</v>
      </c>
      <c r="E56" s="25" t="n">
        <f aca="false">SUMIFS($Q$5:$Q$34,$Y$5:$Y$34,"1L GLASS",$X$5:$X$34,"Sesame")</f>
        <v>0</v>
      </c>
    </row>
    <row r="57" customFormat="false" ht="15" hidden="false" customHeight="false" outlineLevel="0" collapsed="false">
      <c r="D57" s="1" t="s">
        <v>146</v>
      </c>
      <c r="E57" s="26" t="n">
        <f aca="false">SUMIF($Y$5:$Y$34,"1L GLASS",$Q$5:$Q$34)</f>
        <v>0</v>
      </c>
    </row>
    <row r="59" customFormat="false" ht="15" hidden="false" customHeight="false" outlineLevel="0" collapsed="false">
      <c r="D59" s="1" t="s">
        <v>149</v>
      </c>
      <c r="E59" s="1" t="s">
        <v>30</v>
      </c>
    </row>
    <row r="60" customFormat="false" ht="15" hidden="false" customHeight="false" outlineLevel="0" collapsed="false">
      <c r="D60" s="0" t="s">
        <v>150</v>
      </c>
      <c r="E60" s="25" t="n">
        <f aca="false">SUMIFS($Q$5:$Q$34,$Y$5:$Y$34,"5L PET",$X$5:$X$34,"Groundnut")</f>
        <v>0</v>
      </c>
    </row>
    <row r="61" customFormat="false" ht="15" hidden="false" customHeight="false" outlineLevel="0" collapsed="false">
      <c r="D61" s="0" t="s">
        <v>151</v>
      </c>
      <c r="E61" s="25" t="n">
        <f aca="false">SUMIFS($Q$5:$Q$34,$Y$5:$Y$34,"5L PET",$X$5:$X$34,"Sesame")</f>
        <v>0</v>
      </c>
    </row>
    <row r="62" customFormat="false" ht="15" hidden="false" customHeight="false" outlineLevel="0" collapsed="false">
      <c r="D62" s="1" t="s">
        <v>146</v>
      </c>
      <c r="E62" s="26" t="n">
        <f aca="false">SUMIF($Y$5:$Y$34,"5L PET",$Q$5:$Q$34)</f>
        <v>0</v>
      </c>
    </row>
    <row r="64" customFormat="false" ht="15" hidden="false" customHeight="false" outlineLevel="0" collapsed="false">
      <c r="D64" s="1" t="s">
        <v>152</v>
      </c>
      <c r="E64" s="1" t="s">
        <v>30</v>
      </c>
    </row>
    <row r="65" customFormat="false" ht="15" hidden="false" customHeight="false" outlineLevel="0" collapsed="false">
      <c r="D65" s="0" t="s">
        <v>68</v>
      </c>
      <c r="E65" s="25" t="n">
        <f aca="false">SUMIFS($Q$5:$Q$34,$Y$5:$Y$34,"500ML",$X$5:$X$34,"Sesame")</f>
        <v>0</v>
      </c>
    </row>
    <row r="66" customFormat="false" ht="15" hidden="false" customHeight="false" outlineLevel="0" collapsed="false">
      <c r="D66" s="0" t="s">
        <v>153</v>
      </c>
      <c r="E66" s="25" t="n">
        <f aca="false">SUMIFS($Q$5:$Q$34,$Y$5:$Y$34,"500ML",$X$5:$X$34,"Coconut")</f>
        <v>0</v>
      </c>
    </row>
    <row r="67" customFormat="false" ht="15" hidden="false" customHeight="false" outlineLevel="0" collapsed="false">
      <c r="D67" s="0" t="s">
        <v>103</v>
      </c>
      <c r="E67" s="25" t="n">
        <f aca="false">SUMIFS($Q$5:$Q$34,$Y$5:$Y$34,"500ML",$X$5:$X$34,"VCO")</f>
        <v>0</v>
      </c>
    </row>
    <row r="68" customFormat="false" ht="15" hidden="false" customHeight="false" outlineLevel="0" collapsed="false">
      <c r="D68" s="1" t="s">
        <v>146</v>
      </c>
      <c r="E68" s="26" t="n">
        <f aca="false">SUMIF($Y$5:$Y$34,"500ML",$Q$5:$Q$34)</f>
        <v>0</v>
      </c>
    </row>
    <row r="70" customFormat="false" ht="15" hidden="false" customHeight="false" outlineLevel="0" collapsed="false">
      <c r="D70" s="1" t="s">
        <v>154</v>
      </c>
      <c r="E70" s="1" t="s">
        <v>30</v>
      </c>
    </row>
    <row r="71" customFormat="false" ht="15" hidden="false" customHeight="false" outlineLevel="0" collapsed="false">
      <c r="D71" s="0" t="s">
        <v>155</v>
      </c>
      <c r="E71" s="25" t="n">
        <f aca="false">SUMIFS($Q$5:$Q$34,$Y$5:$Y$34,"5L HDPE",$X$5:$X$34,"Groundnut")</f>
        <v>0</v>
      </c>
    </row>
    <row r="72" customFormat="false" ht="15" hidden="false" customHeight="false" outlineLevel="0" collapsed="false">
      <c r="D72" s="0" t="s">
        <v>153</v>
      </c>
      <c r="E72" s="25" t="n">
        <f aca="false">SUMIFS($Q$5:$Q$34,$Y$5:$Y$34,"5L HDPE",$X$5:$X$34,"Coconut")</f>
        <v>0</v>
      </c>
    </row>
    <row r="73" customFormat="false" ht="15" hidden="false" customHeight="false" outlineLevel="0" collapsed="false">
      <c r="D73" s="0" t="s">
        <v>103</v>
      </c>
      <c r="E73" s="25" t="n">
        <f aca="false">SUMIFS($Q$5:$Q$34,$Y$5:$Y$34,"5L HDPE",$X$5:$X$34,"VCO")</f>
        <v>0</v>
      </c>
    </row>
    <row r="74" customFormat="false" ht="15" hidden="false" customHeight="false" outlineLevel="0" collapsed="false">
      <c r="D74" s="0" t="s">
        <v>123</v>
      </c>
      <c r="E74" s="25" t="n">
        <f aca="false">SUMIFS($Q$5:$Q$34,$Y$5:$Y$34,"5L HDPE",$X$5:$X$34,"Mustard")</f>
        <v>0</v>
      </c>
    </row>
    <row r="75" customFormat="false" ht="15" hidden="false" customHeight="false" outlineLevel="0" collapsed="false">
      <c r="D75" s="0" t="s">
        <v>116</v>
      </c>
      <c r="E75" s="25" t="n">
        <f aca="false">SUMIFS($Q$5:$Q$34,$Y$5:$Y$34,"5L HDPE",$X$5:$X$34,"Deepam")</f>
        <v>0</v>
      </c>
    </row>
    <row r="76" customFormat="false" ht="15" hidden="false" customHeight="false" outlineLevel="0" collapsed="false">
      <c r="D76" s="1" t="s">
        <v>146</v>
      </c>
      <c r="E76" s="26" t="n">
        <f aca="false">SUMIF($Y$5:$Y$34,"5L HDPE",$Q$5:$Q$34)</f>
        <v>0</v>
      </c>
    </row>
    <row r="78" customFormat="false" ht="15" hidden="false" customHeight="false" outlineLevel="0" collapsed="false">
      <c r="D78" s="1" t="s">
        <v>156</v>
      </c>
      <c r="E78" s="26" t="n">
        <f aca="false">E53+E57+E62+E68+E76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16" min="3" style="0" width="12"/>
  </cols>
  <sheetData>
    <row r="1" customFormat="false" ht="15" hidden="false" customHeight="false" outlineLevel="0" collapsed="false">
      <c r="A1" s="27" t="s">
        <v>157</v>
      </c>
    </row>
    <row r="2" customFormat="false" ht="35.05" hidden="false" customHeight="false" outlineLevel="0" collapsed="false">
      <c r="A2" s="4" t="s">
        <v>2</v>
      </c>
      <c r="B2" s="4" t="s">
        <v>158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159</v>
      </c>
      <c r="N2" s="4" t="s">
        <v>160</v>
      </c>
      <c r="O2" s="4" t="s">
        <v>161</v>
      </c>
      <c r="P2" s="4" t="s">
        <v>162</v>
      </c>
    </row>
    <row r="3" customFormat="false" ht="15" hidden="false" customHeight="false" outlineLevel="0" collapsed="false">
      <c r="A3" s="28" t="s">
        <v>31</v>
      </c>
      <c r="B3" s="29" t="s">
        <v>34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customFormat="false" ht="15" hidden="false" customHeight="false" outlineLevel="0" collapsed="false">
      <c r="A4" s="30" t="s">
        <v>31</v>
      </c>
      <c r="B4" s="31" t="s">
        <v>163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customFormat="false" ht="15" hidden="false" customHeight="false" outlineLevel="0" collapsed="false">
      <c r="A5" s="32" t="s">
        <v>31</v>
      </c>
      <c r="B5" s="33" t="s">
        <v>164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customFormat="false" ht="15" hidden="false" customHeight="false" outlineLevel="0" collapsed="false">
      <c r="A6" s="34" t="s">
        <v>37</v>
      </c>
      <c r="B6" s="35" t="s">
        <v>40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customFormat="false" ht="15" hidden="false" customHeight="false" outlineLevel="0" collapsed="false">
      <c r="A7" s="36" t="s">
        <v>37</v>
      </c>
      <c r="B7" s="37" t="s">
        <v>165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customFormat="false" ht="15" hidden="false" customHeight="false" outlineLevel="0" collapsed="false">
      <c r="A8" s="38" t="s">
        <v>37</v>
      </c>
      <c r="B8" s="39" t="s">
        <v>166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</row>
    <row r="9" customFormat="false" ht="15" hidden="false" customHeight="false" outlineLevel="0" collapsed="false">
      <c r="A9" s="28" t="s">
        <v>42</v>
      </c>
      <c r="B9" s="29" t="s">
        <v>44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customFormat="false" ht="15" hidden="false" customHeight="false" outlineLevel="0" collapsed="false">
      <c r="A10" s="30" t="s">
        <v>42</v>
      </c>
      <c r="B10" s="31" t="s">
        <v>167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</row>
    <row r="11" customFormat="false" ht="15" hidden="false" customHeight="false" outlineLevel="0" collapsed="false">
      <c r="A11" s="32" t="s">
        <v>42</v>
      </c>
      <c r="B11" s="33" t="s">
        <v>168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customFormat="false" ht="15" hidden="false" customHeight="false" outlineLevel="0" collapsed="false">
      <c r="A12" s="34" t="s">
        <v>45</v>
      </c>
      <c r="B12" s="35" t="s">
        <v>46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customFormat="false" ht="15" hidden="false" customHeight="false" outlineLevel="0" collapsed="false">
      <c r="A13" s="36" t="s">
        <v>45</v>
      </c>
      <c r="B13" s="37" t="s">
        <v>169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</row>
    <row r="14" customFormat="false" ht="15" hidden="false" customHeight="false" outlineLevel="0" collapsed="false">
      <c r="A14" s="38" t="s">
        <v>45</v>
      </c>
      <c r="B14" s="39" t="s">
        <v>170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customFormat="false" ht="15" hidden="false" customHeight="false" outlineLevel="0" collapsed="false">
      <c r="A15" s="28" t="s">
        <v>47</v>
      </c>
      <c r="B15" s="29" t="s">
        <v>49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 customFormat="false" ht="15" hidden="false" customHeight="false" outlineLevel="0" collapsed="false">
      <c r="A16" s="30" t="s">
        <v>47</v>
      </c>
      <c r="B16" s="31" t="s">
        <v>171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</row>
    <row r="17" customFormat="false" ht="15" hidden="false" customHeight="false" outlineLevel="0" collapsed="false">
      <c r="A17" s="32" t="s">
        <v>47</v>
      </c>
      <c r="B17" s="33" t="s">
        <v>172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customFormat="false" ht="15" hidden="false" customHeight="false" outlineLevel="0" collapsed="false">
      <c r="A18" s="34" t="s">
        <v>50</v>
      </c>
      <c r="B18" s="35" t="s">
        <v>51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customFormat="false" ht="15" hidden="false" customHeight="false" outlineLevel="0" collapsed="false">
      <c r="A19" s="36" t="s">
        <v>50</v>
      </c>
      <c r="B19" s="37" t="s">
        <v>173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</row>
    <row r="20" customFormat="false" ht="15" hidden="false" customHeight="false" outlineLevel="0" collapsed="false">
      <c r="A20" s="38" t="s">
        <v>50</v>
      </c>
      <c r="B20" s="39" t="s">
        <v>174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</row>
    <row r="21" customFormat="false" ht="15" hidden="false" customHeight="false" outlineLevel="0" collapsed="false">
      <c r="A21" s="28" t="s">
        <v>52</v>
      </c>
      <c r="B21" s="29" t="s">
        <v>54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customFormat="false" ht="15" hidden="false" customHeight="false" outlineLevel="0" collapsed="false">
      <c r="A22" s="30" t="s">
        <v>52</v>
      </c>
      <c r="B22" s="31" t="s">
        <v>175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</row>
    <row r="23" customFormat="false" ht="15" hidden="false" customHeight="false" outlineLevel="0" collapsed="false">
      <c r="A23" s="32" t="s">
        <v>52</v>
      </c>
      <c r="B23" s="33" t="s">
        <v>176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</row>
    <row r="24" customFormat="false" ht="15" hidden="false" customHeight="false" outlineLevel="0" collapsed="false">
      <c r="A24" s="34" t="s">
        <v>56</v>
      </c>
      <c r="B24" s="35" t="s">
        <v>57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</row>
    <row r="25" customFormat="false" ht="15" hidden="false" customHeight="false" outlineLevel="0" collapsed="false">
      <c r="A25" s="36" t="s">
        <v>56</v>
      </c>
      <c r="B25" s="37" t="s">
        <v>177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</row>
    <row r="26" customFormat="false" ht="15" hidden="false" customHeight="false" outlineLevel="0" collapsed="false">
      <c r="A26" s="38" t="s">
        <v>56</v>
      </c>
      <c r="B26" s="39" t="s">
        <v>178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</row>
    <row r="27" customFormat="false" ht="15" hidden="false" customHeight="false" outlineLevel="0" collapsed="false">
      <c r="A27" s="28" t="s">
        <v>58</v>
      </c>
      <c r="B27" s="29" t="s">
        <v>60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customFormat="false" ht="15" hidden="false" customHeight="false" outlineLevel="0" collapsed="false">
      <c r="A28" s="30" t="s">
        <v>58</v>
      </c>
      <c r="B28" s="31" t="s">
        <v>179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</row>
    <row r="29" customFormat="false" ht="15" hidden="false" customHeight="false" outlineLevel="0" collapsed="false">
      <c r="A29" s="32" t="s">
        <v>58</v>
      </c>
      <c r="B29" s="33" t="s">
        <v>180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</row>
    <row r="30" customFormat="false" ht="15" hidden="false" customHeight="false" outlineLevel="0" collapsed="false">
      <c r="A30" s="34" t="s">
        <v>62</v>
      </c>
      <c r="B30" s="35" t="s">
        <v>64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</row>
    <row r="31" customFormat="false" ht="15" hidden="false" customHeight="false" outlineLevel="0" collapsed="false">
      <c r="A31" s="36" t="s">
        <v>62</v>
      </c>
      <c r="B31" s="37" t="s">
        <v>181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</row>
    <row r="32" customFormat="false" ht="15" hidden="false" customHeight="false" outlineLevel="0" collapsed="false">
      <c r="A32" s="38" t="s">
        <v>62</v>
      </c>
      <c r="B32" s="39" t="s">
        <v>182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</row>
    <row r="33" customFormat="false" ht="15" hidden="false" customHeight="false" outlineLevel="0" collapsed="false">
      <c r="A33" s="28" t="s">
        <v>65</v>
      </c>
      <c r="B33" s="29" t="s">
        <v>67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</row>
    <row r="34" customFormat="false" ht="15" hidden="false" customHeight="false" outlineLevel="0" collapsed="false">
      <c r="A34" s="30" t="s">
        <v>65</v>
      </c>
      <c r="B34" s="31" t="s">
        <v>183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</row>
    <row r="35" customFormat="false" ht="15" hidden="false" customHeight="false" outlineLevel="0" collapsed="false">
      <c r="A35" s="32" t="s">
        <v>65</v>
      </c>
      <c r="B35" s="33" t="s">
        <v>184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</row>
    <row r="36" customFormat="false" ht="15" hidden="false" customHeight="false" outlineLevel="0" collapsed="false">
      <c r="A36" s="34" t="s">
        <v>69</v>
      </c>
      <c r="B36" s="35" t="s">
        <v>70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</row>
    <row r="37" customFormat="false" ht="15" hidden="false" customHeight="false" outlineLevel="0" collapsed="false">
      <c r="A37" s="36" t="s">
        <v>69</v>
      </c>
      <c r="B37" s="37" t="s">
        <v>185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</row>
    <row r="38" customFormat="false" ht="15" hidden="false" customHeight="false" outlineLevel="0" collapsed="false">
      <c r="A38" s="38" t="s">
        <v>69</v>
      </c>
      <c r="B38" s="39" t="s">
        <v>186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customFormat="false" ht="15" hidden="false" customHeight="false" outlineLevel="0" collapsed="false">
      <c r="A39" s="28" t="s">
        <v>71</v>
      </c>
      <c r="B39" s="29" t="s">
        <v>73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</row>
    <row r="40" customFormat="false" ht="15" hidden="false" customHeight="false" outlineLevel="0" collapsed="false">
      <c r="A40" s="30" t="s">
        <v>71</v>
      </c>
      <c r="B40" s="31" t="s">
        <v>187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</row>
    <row r="41" customFormat="false" ht="15" hidden="false" customHeight="false" outlineLevel="0" collapsed="false">
      <c r="A41" s="32" t="s">
        <v>71</v>
      </c>
      <c r="B41" s="33" t="s">
        <v>188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</row>
    <row r="42" customFormat="false" ht="15" hidden="false" customHeight="false" outlineLevel="0" collapsed="false">
      <c r="A42" s="34" t="s">
        <v>74</v>
      </c>
      <c r="B42" s="35" t="s">
        <v>75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</row>
    <row r="43" customFormat="false" ht="15" hidden="false" customHeight="false" outlineLevel="0" collapsed="false">
      <c r="A43" s="36" t="s">
        <v>74</v>
      </c>
      <c r="B43" s="37" t="s">
        <v>189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</row>
    <row r="44" customFormat="false" ht="15" hidden="false" customHeight="false" outlineLevel="0" collapsed="false">
      <c r="A44" s="38" t="s">
        <v>74</v>
      </c>
      <c r="B44" s="39" t="s">
        <v>190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customFormat="false" ht="15" hidden="false" customHeight="false" outlineLevel="0" collapsed="false">
      <c r="A45" s="28" t="s">
        <v>76</v>
      </c>
      <c r="B45" s="29" t="s">
        <v>78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</row>
    <row r="46" customFormat="false" ht="15" hidden="false" customHeight="false" outlineLevel="0" collapsed="false">
      <c r="A46" s="30" t="s">
        <v>76</v>
      </c>
      <c r="B46" s="31" t="s">
        <v>191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</row>
    <row r="47" customFormat="false" ht="15" hidden="false" customHeight="false" outlineLevel="0" collapsed="false">
      <c r="A47" s="32" t="s">
        <v>76</v>
      </c>
      <c r="B47" s="33" t="s">
        <v>192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</row>
    <row r="48" customFormat="false" ht="15" hidden="false" customHeight="false" outlineLevel="0" collapsed="false">
      <c r="A48" s="34" t="s">
        <v>79</v>
      </c>
      <c r="B48" s="35" t="s">
        <v>81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</row>
    <row r="49" customFormat="false" ht="15" hidden="false" customHeight="false" outlineLevel="0" collapsed="false">
      <c r="A49" s="36" t="s">
        <v>79</v>
      </c>
      <c r="B49" s="37" t="s">
        <v>193</v>
      </c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</row>
    <row r="50" customFormat="false" ht="15" hidden="false" customHeight="false" outlineLevel="0" collapsed="false">
      <c r="A50" s="38" t="s">
        <v>79</v>
      </c>
      <c r="B50" s="39" t="s">
        <v>194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customFormat="false" ht="15" hidden="false" customHeight="false" outlineLevel="0" collapsed="false">
      <c r="A51" s="28" t="s">
        <v>83</v>
      </c>
      <c r="B51" s="29" t="s">
        <v>85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</row>
    <row r="52" customFormat="false" ht="15" hidden="false" customHeight="false" outlineLevel="0" collapsed="false">
      <c r="A52" s="30" t="s">
        <v>83</v>
      </c>
      <c r="B52" s="31" t="s">
        <v>195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</row>
    <row r="53" customFormat="false" ht="15" hidden="false" customHeight="false" outlineLevel="0" collapsed="false">
      <c r="A53" s="32" t="s">
        <v>83</v>
      </c>
      <c r="B53" s="33" t="s">
        <v>196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</row>
    <row r="54" customFormat="false" ht="15" hidden="false" customHeight="false" outlineLevel="0" collapsed="false">
      <c r="A54" s="34" t="s">
        <v>87</v>
      </c>
      <c r="B54" s="35" t="s">
        <v>89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</row>
    <row r="55" customFormat="false" ht="15" hidden="false" customHeight="false" outlineLevel="0" collapsed="false">
      <c r="A55" s="36" t="s">
        <v>87</v>
      </c>
      <c r="B55" s="37" t="s">
        <v>197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</row>
    <row r="56" customFormat="false" ht="15" hidden="false" customHeight="false" outlineLevel="0" collapsed="false">
      <c r="A56" s="38" t="s">
        <v>87</v>
      </c>
      <c r="B56" s="39" t="s">
        <v>198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customFormat="false" ht="15" hidden="false" customHeight="false" outlineLevel="0" collapsed="false">
      <c r="A57" s="28" t="s">
        <v>91</v>
      </c>
      <c r="B57" s="29" t="s">
        <v>93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</row>
    <row r="58" customFormat="false" ht="15" hidden="false" customHeight="false" outlineLevel="0" collapsed="false">
      <c r="A58" s="30" t="s">
        <v>91</v>
      </c>
      <c r="B58" s="31" t="s">
        <v>199</v>
      </c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</row>
    <row r="59" customFormat="false" ht="15" hidden="false" customHeight="false" outlineLevel="0" collapsed="false">
      <c r="A59" s="32" t="s">
        <v>91</v>
      </c>
      <c r="B59" s="33" t="s">
        <v>200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</row>
    <row r="60" customFormat="false" ht="15" hidden="false" customHeight="false" outlineLevel="0" collapsed="false">
      <c r="A60" s="34" t="s">
        <v>94</v>
      </c>
      <c r="B60" s="35" t="s">
        <v>96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</row>
    <row r="61" customFormat="false" ht="15" hidden="false" customHeight="false" outlineLevel="0" collapsed="false">
      <c r="A61" s="36" t="s">
        <v>94</v>
      </c>
      <c r="B61" s="37" t="s">
        <v>201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</row>
    <row r="62" customFormat="false" ht="15" hidden="false" customHeight="false" outlineLevel="0" collapsed="false">
      <c r="A62" s="38" t="s">
        <v>94</v>
      </c>
      <c r="B62" s="39" t="s">
        <v>202</v>
      </c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customFormat="false" ht="15" hidden="false" customHeight="false" outlineLevel="0" collapsed="false">
      <c r="A63" s="28" t="s">
        <v>97</v>
      </c>
      <c r="B63" s="29" t="s">
        <v>99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</row>
    <row r="64" customFormat="false" ht="15" hidden="false" customHeight="false" outlineLevel="0" collapsed="false">
      <c r="A64" s="30" t="s">
        <v>97</v>
      </c>
      <c r="B64" s="31" t="s">
        <v>203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</row>
    <row r="65" customFormat="false" ht="15" hidden="false" customHeight="false" outlineLevel="0" collapsed="false">
      <c r="A65" s="32" t="s">
        <v>97</v>
      </c>
      <c r="B65" s="33" t="s">
        <v>204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</row>
    <row r="66" customFormat="false" ht="15" hidden="false" customHeight="false" outlineLevel="0" collapsed="false">
      <c r="A66" s="34" t="s">
        <v>100</v>
      </c>
      <c r="B66" s="35" t="s">
        <v>102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</row>
    <row r="67" customFormat="false" ht="15" hidden="false" customHeight="false" outlineLevel="0" collapsed="false">
      <c r="A67" s="36" t="s">
        <v>100</v>
      </c>
      <c r="B67" s="37" t="s">
        <v>205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</row>
    <row r="68" customFormat="false" ht="15" hidden="false" customHeight="false" outlineLevel="0" collapsed="false">
      <c r="A68" s="38" t="s">
        <v>100</v>
      </c>
      <c r="B68" s="39" t="s">
        <v>206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customFormat="false" ht="15" hidden="false" customHeight="false" outlineLevel="0" collapsed="false">
      <c r="A69" s="28" t="s">
        <v>104</v>
      </c>
      <c r="B69" s="29" t="s">
        <v>106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customFormat="false" ht="15" hidden="false" customHeight="false" outlineLevel="0" collapsed="false">
      <c r="A70" s="30" t="s">
        <v>104</v>
      </c>
      <c r="B70" s="31" t="s">
        <v>207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</row>
    <row r="71" customFormat="false" ht="15" hidden="false" customHeight="false" outlineLevel="0" collapsed="false">
      <c r="A71" s="32" t="s">
        <v>104</v>
      </c>
      <c r="B71" s="33" t="s">
        <v>208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</row>
    <row r="72" customFormat="false" ht="15" hidden="false" customHeight="false" outlineLevel="0" collapsed="false">
      <c r="A72" s="34" t="s">
        <v>107</v>
      </c>
      <c r="B72" s="35" t="s">
        <v>109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</row>
    <row r="73" customFormat="false" ht="15" hidden="false" customHeight="false" outlineLevel="0" collapsed="false">
      <c r="A73" s="36" t="s">
        <v>107</v>
      </c>
      <c r="B73" s="37" t="s">
        <v>209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</row>
    <row r="74" customFormat="false" ht="15" hidden="false" customHeight="false" outlineLevel="0" collapsed="false">
      <c r="A74" s="38" t="s">
        <v>107</v>
      </c>
      <c r="B74" s="39" t="s">
        <v>210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customFormat="false" ht="15" hidden="false" customHeight="false" outlineLevel="0" collapsed="false">
      <c r="A75" s="28" t="s">
        <v>110</v>
      </c>
      <c r="B75" s="29" t="s">
        <v>112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</row>
    <row r="76" customFormat="false" ht="15" hidden="false" customHeight="false" outlineLevel="0" collapsed="false">
      <c r="A76" s="30" t="s">
        <v>110</v>
      </c>
      <c r="B76" s="31" t="s">
        <v>211</v>
      </c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</row>
    <row r="77" customFormat="false" ht="15" hidden="false" customHeight="false" outlineLevel="0" collapsed="false">
      <c r="A77" s="32" t="s">
        <v>110</v>
      </c>
      <c r="B77" s="33" t="s">
        <v>212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</row>
    <row r="78" customFormat="false" ht="15" hidden="false" customHeight="false" outlineLevel="0" collapsed="false">
      <c r="A78" s="34" t="s">
        <v>113</v>
      </c>
      <c r="B78" s="35" t="s">
        <v>115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</row>
    <row r="79" customFormat="false" ht="15" hidden="false" customHeight="false" outlineLevel="0" collapsed="false">
      <c r="A79" s="36" t="s">
        <v>113</v>
      </c>
      <c r="B79" s="37" t="s">
        <v>213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</row>
    <row r="80" customFormat="false" ht="15" hidden="false" customHeight="false" outlineLevel="0" collapsed="false">
      <c r="A80" s="38" t="s">
        <v>113</v>
      </c>
      <c r="B80" s="39" t="s">
        <v>214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customFormat="false" ht="15" hidden="false" customHeight="false" outlineLevel="0" collapsed="false">
      <c r="A81" s="28" t="s">
        <v>117</v>
      </c>
      <c r="B81" s="29" t="s">
        <v>119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</row>
    <row r="82" customFormat="false" ht="15" hidden="false" customHeight="false" outlineLevel="0" collapsed="false">
      <c r="A82" s="30" t="s">
        <v>117</v>
      </c>
      <c r="B82" s="31" t="s">
        <v>215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</row>
    <row r="83" customFormat="false" ht="15" hidden="false" customHeight="false" outlineLevel="0" collapsed="false">
      <c r="A83" s="32" t="s">
        <v>117</v>
      </c>
      <c r="B83" s="33" t="s">
        <v>216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</row>
    <row r="84" customFormat="false" ht="15" hidden="false" customHeight="false" outlineLevel="0" collapsed="false">
      <c r="A84" s="34" t="s">
        <v>120</v>
      </c>
      <c r="B84" s="35" t="s">
        <v>122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</row>
    <row r="85" customFormat="false" ht="15" hidden="false" customHeight="false" outlineLevel="0" collapsed="false">
      <c r="A85" s="36" t="s">
        <v>120</v>
      </c>
      <c r="B85" s="37" t="s">
        <v>217</v>
      </c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</row>
    <row r="86" customFormat="false" ht="15" hidden="false" customHeight="false" outlineLevel="0" collapsed="false">
      <c r="A86" s="38" t="s">
        <v>120</v>
      </c>
      <c r="B86" s="39" t="s">
        <v>218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</row>
    <row r="87" customFormat="false" ht="15" hidden="false" customHeight="false" outlineLevel="0" collapsed="false">
      <c r="A87" s="28" t="s">
        <v>124</v>
      </c>
      <c r="B87" s="29" t="s">
        <v>126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</row>
    <row r="88" customFormat="false" ht="15" hidden="false" customHeight="false" outlineLevel="0" collapsed="false">
      <c r="A88" s="30" t="s">
        <v>124</v>
      </c>
      <c r="B88" s="31" t="s">
        <v>219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</row>
    <row r="89" customFormat="false" ht="15" hidden="false" customHeight="false" outlineLevel="0" collapsed="false">
      <c r="A89" s="32" t="s">
        <v>124</v>
      </c>
      <c r="B89" s="33" t="s">
        <v>220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</row>
    <row r="90" customFormat="false" ht="15" hidden="false" customHeight="false" outlineLevel="0" collapsed="false">
      <c r="A90" s="34" t="s">
        <v>127</v>
      </c>
      <c r="B90" s="35" t="s">
        <v>129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</row>
    <row r="91" customFormat="false" ht="15" hidden="false" customHeight="false" outlineLevel="0" collapsed="false">
      <c r="A91" s="36" t="s">
        <v>127</v>
      </c>
      <c r="B91" s="37" t="s">
        <v>221</v>
      </c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</row>
    <row r="92" customFormat="false" ht="15" hidden="false" customHeight="false" outlineLevel="0" collapsed="false">
      <c r="A92" s="38" t="s">
        <v>127</v>
      </c>
      <c r="B92" s="39" t="s">
        <v>222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40" t="s">
        <v>223</v>
      </c>
    </row>
    <row r="2" customFormat="false" ht="15" hidden="false" customHeight="false" outlineLevel="0" collapsed="false">
      <c r="A2" s="41"/>
    </row>
    <row r="3" customFormat="false" ht="15" hidden="false" customHeight="false" outlineLevel="0" collapsed="false">
      <c r="A3" s="41" t="s">
        <v>224</v>
      </c>
    </row>
    <row r="4" customFormat="false" ht="15" hidden="false" customHeight="false" outlineLevel="0" collapsed="false">
      <c r="A4" s="41" t="s">
        <v>225</v>
      </c>
    </row>
    <row r="5" customFormat="false" ht="15" hidden="false" customHeight="false" outlineLevel="0" collapsed="false">
      <c r="A5" s="41" t="s">
        <v>226</v>
      </c>
    </row>
    <row r="6" customFormat="false" ht="15" hidden="false" customHeight="false" outlineLevel="0" collapsed="false">
      <c r="A6" s="41"/>
    </row>
    <row r="7" customFormat="false" ht="15" hidden="false" customHeight="false" outlineLevel="0" collapsed="false">
      <c r="A7" s="42" t="s">
        <v>227</v>
      </c>
    </row>
    <row r="8" customFormat="false" ht="15" hidden="false" customHeight="false" outlineLevel="0" collapsed="false">
      <c r="A8" s="41" t="s">
        <v>228</v>
      </c>
    </row>
    <row r="9" customFormat="false" ht="15" hidden="false" customHeight="false" outlineLevel="0" collapsed="false">
      <c r="A9" s="41" t="s">
        <v>229</v>
      </c>
    </row>
    <row r="10" customFormat="false" ht="15" hidden="false" customHeight="false" outlineLevel="0" collapsed="false">
      <c r="A10" s="41" t="s">
        <v>230</v>
      </c>
    </row>
    <row r="11" customFormat="false" ht="15" hidden="false" customHeight="false" outlineLevel="0" collapsed="false">
      <c r="A11" s="41" t="s">
        <v>231</v>
      </c>
    </row>
    <row r="12" customFormat="false" ht="15" hidden="false" customHeight="false" outlineLevel="0" collapsed="false">
      <c r="A12" s="41" t="s">
        <v>232</v>
      </c>
    </row>
    <row r="13" customFormat="false" ht="15" hidden="false" customHeight="false" outlineLevel="0" collapsed="false">
      <c r="A13" s="41" t="s">
        <v>233</v>
      </c>
    </row>
    <row r="14" customFormat="false" ht="15" hidden="false" customHeight="false" outlineLevel="0" collapsed="false">
      <c r="A14" s="41" t="s">
        <v>234</v>
      </c>
    </row>
    <row r="15" customFormat="false" ht="15" hidden="false" customHeight="false" outlineLevel="0" collapsed="false">
      <c r="A15" s="41" t="s">
        <v>235</v>
      </c>
    </row>
    <row r="16" customFormat="false" ht="15" hidden="false" customHeight="false" outlineLevel="0" collapsed="false">
      <c r="A16" s="41" t="s">
        <v>236</v>
      </c>
    </row>
    <row r="17" customFormat="false" ht="15" hidden="false" customHeight="false" outlineLevel="0" collapsed="false">
      <c r="A17" s="41" t="s">
        <v>237</v>
      </c>
    </row>
    <row r="18" customFormat="false" ht="15" hidden="false" customHeight="false" outlineLevel="0" collapsed="false">
      <c r="A18" s="41" t="s">
        <v>238</v>
      </c>
    </row>
    <row r="19" customFormat="false" ht="15" hidden="false" customHeight="false" outlineLevel="0" collapsed="false">
      <c r="A19" s="41"/>
    </row>
    <row r="20" customFormat="false" ht="15" hidden="false" customHeight="false" outlineLevel="0" collapsed="false">
      <c r="A20" s="42" t="s">
        <v>239</v>
      </c>
    </row>
    <row r="21" customFormat="false" ht="15" hidden="false" customHeight="false" outlineLevel="0" collapsed="false">
      <c r="A21" s="41" t="s">
        <v>240</v>
      </c>
    </row>
    <row r="22" customFormat="false" ht="15" hidden="false" customHeight="false" outlineLevel="0" collapsed="false">
      <c r="A22" s="41" t="s">
        <v>241</v>
      </c>
    </row>
    <row r="23" customFormat="false" ht="15" hidden="false" customHeight="false" outlineLevel="0" collapsed="false">
      <c r="A23" s="41" t="s">
        <v>242</v>
      </c>
    </row>
    <row r="24" customFormat="false" ht="15" hidden="false" customHeight="false" outlineLevel="0" collapsed="false">
      <c r="A24" s="41" t="s">
        <v>243</v>
      </c>
    </row>
    <row r="25" customFormat="false" ht="15" hidden="false" customHeight="false" outlineLevel="0" collapsed="false">
      <c r="A25" s="41" t="s">
        <v>244</v>
      </c>
    </row>
    <row r="26" customFormat="false" ht="15" hidden="false" customHeight="false" outlineLevel="0" collapsed="false">
      <c r="A26" s="41"/>
    </row>
    <row r="27" customFormat="false" ht="15" hidden="false" customHeight="false" outlineLevel="0" collapsed="false">
      <c r="A27" s="42" t="s">
        <v>245</v>
      </c>
    </row>
    <row r="28" customFormat="false" ht="15" hidden="false" customHeight="false" outlineLevel="0" collapsed="false">
      <c r="A28" s="41" t="s">
        <v>246</v>
      </c>
    </row>
    <row r="29" customFormat="false" ht="15" hidden="false" customHeight="false" outlineLevel="0" collapsed="false">
      <c r="A29" s="41" t="s">
        <v>247</v>
      </c>
    </row>
    <row r="31" customFormat="false" ht="15" hidden="false" customHeight="false" outlineLevel="0" collapsed="false">
      <c r="A31" s="42" t="s">
        <v>248</v>
      </c>
    </row>
    <row r="32" customFormat="false" ht="15" hidden="false" customHeight="false" outlineLevel="0" collapsed="false">
      <c r="A32" s="41" t="s">
        <v>249</v>
      </c>
    </row>
    <row r="33" customFormat="false" ht="15" hidden="false" customHeight="false" outlineLevel="0" collapsed="false">
      <c r="A33" s="41" t="s">
        <v>250</v>
      </c>
    </row>
    <row r="34" customFormat="false" ht="15" hidden="false" customHeight="false" outlineLevel="0" collapsed="false">
      <c r="A34" s="41" t="s">
        <v>251</v>
      </c>
    </row>
    <row r="35" customFormat="false" ht="15" hidden="false" customHeight="false" outlineLevel="0" collapsed="false">
      <c r="A35" s="42" t="s">
        <v>252</v>
      </c>
    </row>
    <row r="36" customFormat="false" ht="15" hidden="false" customHeight="false" outlineLevel="0" collapsed="false">
      <c r="A36" s="41" t="s">
        <v>253</v>
      </c>
    </row>
    <row r="37" customFormat="false" ht="15" hidden="false" customHeight="false" outlineLevel="0" collapsed="false">
      <c r="A37" s="41" t="s">
        <v>254</v>
      </c>
    </row>
    <row r="38" customFormat="false" ht="15" hidden="false" customHeight="false" outlineLevel="0" collapsed="false">
      <c r="A38" s="42" t="s">
        <v>255</v>
      </c>
    </row>
    <row r="39" customFormat="false" ht="15" hidden="false" customHeight="false" outlineLevel="0" collapsed="false">
      <c r="A39" s="41" t="s">
        <v>256</v>
      </c>
    </row>
    <row r="40" customFormat="false" ht="15" hidden="false" customHeight="false" outlineLevel="0" collapsed="false">
      <c r="A40" s="41" t="s">
        <v>257</v>
      </c>
    </row>
    <row r="41" customFormat="false" ht="15" hidden="false" customHeight="false" outlineLevel="0" collapsed="false">
      <c r="A41" s="41" t="s">
        <v>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2026-07-07T15:03:33Z</dcterms:created>
  <dc:creator>openpyxl</dc:creator>
  <dc:description/>
  <dc:language>en-US</dc:language>
  <cp:lastModifiedBy/>
  <dcterms:modified xsi:type="dcterms:W3CDTF">2026-07-07T15:04:05Z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